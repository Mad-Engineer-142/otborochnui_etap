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3\"/>
    </mc:Choice>
  </mc:AlternateContent>
  <xr:revisionPtr revIDLastSave="0" documentId="13_ncr:1_{5C5E4CB7-155E-48C9-BD62-2B451C0510DE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D3" i="1"/>
  <c r="E3" i="1"/>
  <c r="F3" i="1"/>
  <c r="R22" i="1" l="1"/>
  <c r="G3" i="1"/>
  <c r="H3" i="1"/>
  <c r="I3" i="1"/>
  <c r="J3" i="1" l="1"/>
  <c r="R3" i="1" s="1"/>
  <c r="L3" i="1"/>
  <c r="K3" i="1"/>
  <c r="P3" i="1"/>
  <c r="Q3" i="1" l="1"/>
</calcChain>
</file>

<file path=xl/sharedStrings.xml><?xml version="1.0" encoding="utf-8"?>
<sst xmlns="http://schemas.openxmlformats.org/spreadsheetml/2006/main" count="152" uniqueCount="132">
  <si>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</si>
  <si>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</si>
  <si>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</si>
  <si>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</si>
  <si>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</si>
  <si>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</si>
  <si>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</si>
  <si>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</si>
  <si>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</si>
  <si>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</si>
  <si>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</si>
  <si>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</si>
  <si>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</si>
  <si>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</si>
  <si>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</si>
  <si>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</si>
  <si>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</si>
  <si>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</si>
  <si>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</si>
  <si>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</si>
  <si>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</si>
  <si>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</si>
  <si>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</si>
  <si>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</si>
  <si>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</si>
  <si>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</si>
  <si>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</si>
  <si>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</si>
  <si>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</si>
  <si>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</si>
  <si>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</si>
  <si>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</si>
  <si>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</si>
  <si>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</si>
  <si>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</si>
  <si>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</si>
  <si>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</si>
  <si>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Координатная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</si>
  <si>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</si>
  <si>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</si>
  <si>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</si>
  <si>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</si>
  <si>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</si>
  <si>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</si>
  <si>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</si>
  <si>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</si>
  <si>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</si>
  <si>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</si>
  <si>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</si>
  <si>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</si>
  <si>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</si>
  <si>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</si>
  <si>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</si>
  <si>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</si>
  <si>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</si>
  <si>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</si>
  <si>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</si>
  <si>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Метчик</t>
  </si>
  <si>
    <t>Р18</t>
  </si>
  <si>
    <t>HRC 62…64</t>
  </si>
  <si>
    <t xml:space="preserve">Нормализовать </t>
  </si>
  <si>
    <t>Нормализовать</t>
  </si>
  <si>
    <t>Клеймить,смазать, упаковать</t>
  </si>
  <si>
    <t>3-18</t>
  </si>
  <si>
    <t>26-2429</t>
  </si>
  <si>
    <t>D14х75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</si>
  <si>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</si>
  <si>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</si>
  <si>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</si>
  <si>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</si>
  <si>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</si>
  <si>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</si>
  <si>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</si>
  <si>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</si>
  <si>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</si>
  <si>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</si>
  <si>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</si>
  <si>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</si>
  <si>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</si>
  <si>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</si>
  <si>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</si>
  <si>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</si>
  <si>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</si>
  <si>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</si>
  <si>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</si>
  <si>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</si>
  <si>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</si>
  <si>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</si>
  <si>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</si>
  <si>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</si>
  <si>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</si>
  <si>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</si>
  <si>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</si>
  <si>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</si>
  <si>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</si>
  <si>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</si>
  <si>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</si>
  <si>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</si>
  <si>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</si>
  <si>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</si>
  <si>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</si>
  <si>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</si>
  <si>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</si>
  <si>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</si>
  <si>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</si>
  <si>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</si>
  <si>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</si>
  <si>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</si>
  <si>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</si>
  <si>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</si>
  <si>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</si>
  <si>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</si>
  <si>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</si>
  <si>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</si>
  <si>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</si>
  <si>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</si>
  <si>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</si>
  <si>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</si>
  <si>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</si>
  <si>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</si>
  <si>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</si>
  <si>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</si>
  <si>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</si>
  <si>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</si>
  <si>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</si>
  <si>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</si>
  <si>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</si>
  <si>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</si>
  <si>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</si>
  <si>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</si>
  <si>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</si>
  <si>
    <t>БН-1664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</si>
</sst>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5" totalsRowShown="0">
  <autoFilter ref="B2:B25" xr:uid="{00000000-0009-0000-0100-000003000000}"/>
  <sortState xmlns:xlrd2="http://schemas.microsoft.com/office/spreadsheetml/2017/richdata2" ref="B3:B25">
    <sortCondition ref="B2:B25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2" sqref="V2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0" t="s">
        <v>0</v>
      </c>
      <c r="B1" s="60"/>
      <c r="C1" s="63" t="s">
        <v>1</v>
      </c>
      <c r="D1" s="63"/>
      <c r="E1" s="63"/>
      <c r="F1" s="63"/>
      <c r="G1" s="21"/>
      <c r="H1" s="21"/>
      <c r="I1" s="21"/>
      <c r="J1" s="21"/>
      <c r="K1" s="21"/>
      <c r="L1" s="21"/>
      <c r="M1" s="33" t="s">
        <v>63</v>
      </c>
      <c r="N1" s="21"/>
      <c r="O1" s="60" t="s">
        <v>2</v>
      </c>
      <c r="P1" s="60"/>
      <c r="Q1" s="61" t="s">
        <v>131</v>
      </c>
      <c r="R1" s="61"/>
      <c r="S1" s="60" t="s">
        <v>3</v>
      </c>
      <c r="T1" s="62"/>
      <c r="U1" s="34" t="s">
        <v>64</v>
      </c>
      <c r="V1" s="72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4" t="s">
        <v>7</v>
      </c>
      <c r="E2" s="64"/>
      <c r="F2" s="64"/>
      <c r="G2" s="64" t="s">
        <v>8</v>
      </c>
      <c r="H2" s="64"/>
      <c r="I2" s="64"/>
      <c r="J2" s="64" t="s">
        <v>9</v>
      </c>
      <c r="K2" s="64"/>
      <c r="L2" s="6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50</v>
      </c>
      <c r="U2" s="7" t="s">
        <v>17</v>
      </c>
      <c r="V2" s="8"/>
    </row>
    <row r="3" spans="1:256" ht="17.100000000000001" customHeight="1" x14ac:dyDescent="0.25">
      <c r="A3" s="30" t="s">
        <v>57</v>
      </c>
      <c r="B3" s="31">
        <v>20</v>
      </c>
      <c r="C3" s="31" t="s">
        <v>65</v>
      </c>
      <c r="D3" s="32" t="str">
        <f>GETSIZE(C3,1)</f>
        <v>D</v>
      </c>
      <c r="E3" s="32">
        <f>GETSIZE(C3,2)</f>
        <v>14</v>
      </c>
      <c r="F3" s="32">
        <f>GETSIZE(C3,3)</f>
        <v>75</v>
      </c>
      <c r="G3" s="32">
        <f>Pripusk($D3:$F3,1)</f>
        <v>0</v>
      </c>
      <c r="H3" s="32">
        <f>Pripusk($D3:$F3,2)</f>
        <v>2</v>
      </c>
      <c r="I3" s="32">
        <f>Pripusk($D3:$F3,3)</f>
        <v>5</v>
      </c>
      <c r="J3" s="32" t="str">
        <f>IFERROR(D3+G3,D3)</f>
        <v>D</v>
      </c>
      <c r="K3" s="32">
        <f>IFERROR(E3+H3,E3)</f>
        <v>16</v>
      </c>
      <c r="L3" s="32">
        <f>IFERROR(F3+I3,F3)</f>
        <v>80</v>
      </c>
      <c r="M3" s="31" t="s">
        <v>58</v>
      </c>
      <c r="N3" s="22">
        <v>9</v>
      </c>
      <c r="O3" s="22" t="s">
        <v>19</v>
      </c>
      <c r="P3" s="23">
        <f>CALCULATEMASS(J3:L3,O3,N3)</f>
        <v>0.14480000000000001</v>
      </c>
      <c r="Q3" s="24">
        <f>P3*B3</f>
        <v>2.8960000000000004</v>
      </c>
      <c r="R3" s="25" t="str">
        <f>IF(J3&lt;&gt;"D",J3&amp;"x"&amp;K3&amp;"x"&amp;L3,J3&amp;K3&amp;"x"&amp;L3)&amp;" "&amp;M3</f>
        <v>D16x80 Р18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3" t="s">
        <v>20</v>
      </c>
      <c r="B5" s="63"/>
      <c r="C5" s="63" t="s">
        <v>21</v>
      </c>
      <c r="D5" s="63"/>
      <c r="E5" s="60" t="s">
        <v>22</v>
      </c>
      <c r="F5" s="60"/>
      <c r="G5" s="60"/>
      <c r="H5" s="60"/>
      <c r="I5" s="10" t="s">
        <v>23</v>
      </c>
      <c r="J5" s="11" t="s">
        <v>24</v>
      </c>
      <c r="K5" s="12" t="s">
        <v>25</v>
      </c>
      <c r="L5" s="18" t="s">
        <v>26</v>
      </c>
      <c r="M5" s="60" t="s">
        <v>22</v>
      </c>
      <c r="N5" s="60"/>
      <c r="O5" s="60"/>
      <c r="P5" s="60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5">
        <v>1</v>
      </c>
      <c r="B6" s="65"/>
      <c r="C6" s="66" t="s">
        <v>33</v>
      </c>
      <c r="D6" s="66"/>
      <c r="E6" s="67"/>
      <c r="F6" s="67"/>
      <c r="G6" s="67"/>
      <c r="H6" s="67"/>
      <c r="I6" s="20"/>
      <c r="J6" s="20"/>
      <c r="K6" s="13"/>
      <c r="L6" s="20"/>
      <c r="M6" s="68"/>
      <c r="N6" s="68"/>
      <c r="O6" s="68"/>
      <c r="P6" s="68"/>
      <c r="Q6" s="58">
        <v>0.15</v>
      </c>
      <c r="R6" s="58">
        <v>0.15</v>
      </c>
      <c r="S6" s="14"/>
      <c r="T6" s="40"/>
      <c r="U6" s="26"/>
      <c r="V6" s="21"/>
    </row>
    <row r="7" spans="1:256" ht="20.100000000000001" customHeight="1" x14ac:dyDescent="0.25">
      <c r="A7" s="65">
        <v>2</v>
      </c>
      <c r="B7" s="65"/>
      <c r="C7" s="66" t="s">
        <v>45</v>
      </c>
      <c r="D7" s="66"/>
      <c r="E7" s="67"/>
      <c r="F7" s="67"/>
      <c r="G7" s="67"/>
      <c r="H7" s="67"/>
      <c r="I7" s="15"/>
      <c r="J7" s="15"/>
      <c r="K7" s="13"/>
      <c r="L7" s="15"/>
      <c r="M7" s="68"/>
      <c r="N7" s="68"/>
      <c r="O7" s="68"/>
      <c r="P7" s="68"/>
      <c r="Q7" s="59">
        <v>0.15</v>
      </c>
      <c r="R7" s="59">
        <v>0.4</v>
      </c>
      <c r="S7" s="14"/>
      <c r="T7" s="40"/>
      <c r="U7" s="26"/>
      <c r="V7" s="21"/>
    </row>
    <row r="8" spans="1:256" ht="20.100000000000001" customHeight="1" x14ac:dyDescent="0.25">
      <c r="A8" s="65">
        <v>3</v>
      </c>
      <c r="B8" s="65"/>
      <c r="C8" s="66" t="s">
        <v>47</v>
      </c>
      <c r="D8" s="66"/>
      <c r="E8" s="67"/>
      <c r="F8" s="67"/>
      <c r="G8" s="67"/>
      <c r="H8" s="67"/>
      <c r="I8" s="20"/>
      <c r="J8" s="20"/>
      <c r="K8" s="13"/>
      <c r="L8" s="20"/>
      <c r="M8" s="68"/>
      <c r="N8" s="68"/>
      <c r="O8" s="68"/>
      <c r="P8" s="68"/>
      <c r="Q8" s="58">
        <v>0.2</v>
      </c>
      <c r="R8" s="58">
        <v>0.2</v>
      </c>
      <c r="S8" s="14"/>
      <c r="T8" s="40"/>
      <c r="U8" s="26"/>
      <c r="V8" s="21"/>
    </row>
    <row r="9" spans="1:256" ht="20.100000000000001" customHeight="1" x14ac:dyDescent="0.25">
      <c r="A9" s="65">
        <v>4</v>
      </c>
      <c r="B9" s="65"/>
      <c r="C9" s="66" t="s">
        <v>44</v>
      </c>
      <c r="D9" s="66"/>
      <c r="E9" s="67"/>
      <c r="F9" s="67"/>
      <c r="G9" s="67"/>
      <c r="H9" s="67"/>
      <c r="I9" s="15"/>
      <c r="J9" s="15"/>
      <c r="K9" s="13"/>
      <c r="L9" s="15"/>
      <c r="M9" s="68" t="s">
        <v>59</v>
      </c>
      <c r="N9" s="68"/>
      <c r="O9" s="68"/>
      <c r="P9" s="68"/>
      <c r="Q9" s="59">
        <v>1</v>
      </c>
      <c r="R9" s="59">
        <v>0.01</v>
      </c>
      <c r="S9" s="14"/>
      <c r="T9" s="41"/>
      <c r="U9" s="26"/>
      <c r="V9" s="21"/>
    </row>
    <row r="10" spans="1:256" ht="20.100000000000001" customHeight="1" x14ac:dyDescent="0.25">
      <c r="A10" s="65">
        <v>5</v>
      </c>
      <c r="B10" s="65"/>
      <c r="C10" s="66" t="s">
        <v>35</v>
      </c>
      <c r="D10" s="66"/>
      <c r="E10" s="67"/>
      <c r="F10" s="67"/>
      <c r="G10" s="67"/>
      <c r="H10" s="67"/>
      <c r="I10" s="20"/>
      <c r="J10" s="20"/>
      <c r="K10" s="13"/>
      <c r="L10" s="20"/>
      <c r="M10" s="68"/>
      <c r="N10" s="68"/>
      <c r="O10" s="68"/>
      <c r="P10" s="68"/>
      <c r="Q10" s="58">
        <v>0.1</v>
      </c>
      <c r="R10" s="58">
        <v>0.02</v>
      </c>
      <c r="S10" s="14"/>
      <c r="T10" s="40"/>
      <c r="U10" s="26"/>
      <c r="V10" s="21"/>
    </row>
    <row r="11" spans="1:256" ht="20.100000000000001" customHeight="1" x14ac:dyDescent="0.25">
      <c r="A11" s="65">
        <v>6</v>
      </c>
      <c r="B11" s="65"/>
      <c r="C11" s="66" t="s">
        <v>38</v>
      </c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9">
        <v>0.2</v>
      </c>
      <c r="R11" s="59">
        <v>0.2</v>
      </c>
      <c r="S11" s="14"/>
      <c r="T11" s="40"/>
      <c r="U11" s="26"/>
      <c r="V11" s="21"/>
    </row>
    <row r="12" spans="1:256" ht="20.100000000000001" customHeight="1" x14ac:dyDescent="0.25">
      <c r="A12" s="65">
        <v>7</v>
      </c>
      <c r="B12" s="65"/>
      <c r="C12" s="66" t="s">
        <v>44</v>
      </c>
      <c r="D12" s="66"/>
      <c r="E12" s="67"/>
      <c r="F12" s="67"/>
      <c r="G12" s="67"/>
      <c r="H12" s="67"/>
      <c r="I12" s="20"/>
      <c r="J12" s="20"/>
      <c r="K12" s="13"/>
      <c r="L12" s="20"/>
      <c r="M12" s="68" t="s">
        <v>60</v>
      </c>
      <c r="N12" s="68"/>
      <c r="O12" s="68"/>
      <c r="P12" s="68"/>
      <c r="Q12" s="58">
        <v>0.5</v>
      </c>
      <c r="R12" s="58">
        <v>0.01</v>
      </c>
      <c r="S12" s="14"/>
      <c r="T12" s="40"/>
      <c r="U12" s="26"/>
      <c r="V12" s="21"/>
    </row>
    <row r="13" spans="1:256" ht="20.100000000000001" customHeight="1" x14ac:dyDescent="0.25">
      <c r="A13" s="65">
        <v>8</v>
      </c>
      <c r="B13" s="65"/>
      <c r="C13" s="66" t="s">
        <v>41</v>
      </c>
      <c r="D13" s="66"/>
      <c r="E13" s="13"/>
      <c r="F13" s="16"/>
      <c r="G13" s="16"/>
      <c r="H13" s="17"/>
      <c r="I13" s="20"/>
      <c r="J13" s="20"/>
      <c r="K13" s="13"/>
      <c r="L13" s="20"/>
      <c r="M13" s="69"/>
      <c r="N13" s="70"/>
      <c r="O13" s="70"/>
      <c r="P13" s="71"/>
      <c r="Q13" s="58">
        <v>0.2</v>
      </c>
      <c r="R13" s="58">
        <v>0.2</v>
      </c>
      <c r="S13" s="14"/>
      <c r="T13" s="40"/>
      <c r="U13" s="26"/>
      <c r="V13" s="21"/>
    </row>
    <row r="14" spans="1:256" ht="20.100000000000001" customHeight="1" x14ac:dyDescent="0.25">
      <c r="A14" s="65">
        <v>9</v>
      </c>
      <c r="B14" s="65"/>
      <c r="C14" s="66" t="s">
        <v>44</v>
      </c>
      <c r="D14" s="66"/>
      <c r="E14" s="67"/>
      <c r="F14" s="67"/>
      <c r="G14" s="67"/>
      <c r="H14" s="67"/>
      <c r="I14" s="20"/>
      <c r="J14" s="20"/>
      <c r="K14" s="13"/>
      <c r="L14" s="20"/>
      <c r="M14" s="68" t="s">
        <v>61</v>
      </c>
      <c r="N14" s="68"/>
      <c r="O14" s="68"/>
      <c r="P14" s="68"/>
      <c r="Q14" s="58">
        <v>0.5</v>
      </c>
      <c r="R14" s="58">
        <v>0.01</v>
      </c>
      <c r="S14" s="14"/>
      <c r="T14" s="40"/>
      <c r="U14" s="26"/>
      <c r="V14" s="21"/>
    </row>
    <row r="15" spans="1:256" ht="20.100000000000001" customHeight="1" x14ac:dyDescent="0.25">
      <c r="A15" s="65">
        <v>10</v>
      </c>
      <c r="B15" s="65"/>
      <c r="C15" s="66" t="s">
        <v>35</v>
      </c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9">
        <v>0.1</v>
      </c>
      <c r="R15" s="59">
        <v>0.02</v>
      </c>
      <c r="S15" s="14"/>
      <c r="T15" s="40"/>
      <c r="U15" s="26"/>
      <c r="V15" s="21"/>
    </row>
    <row r="16" spans="1:256" ht="20.100000000000001" customHeight="1" x14ac:dyDescent="0.25">
      <c r="A16" s="65">
        <v>11</v>
      </c>
      <c r="B16" s="65"/>
      <c r="C16" s="66" t="s">
        <v>52</v>
      </c>
      <c r="D16" s="66"/>
      <c r="E16" s="67"/>
      <c r="F16" s="67"/>
      <c r="G16" s="67"/>
      <c r="H16" s="67"/>
      <c r="I16" s="20"/>
      <c r="J16" s="20"/>
      <c r="K16" s="13"/>
      <c r="L16" s="20"/>
      <c r="M16" s="68"/>
      <c r="N16" s="68"/>
      <c r="O16" s="68"/>
      <c r="P16" s="68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5">
        <v>12</v>
      </c>
      <c r="B17" s="65"/>
      <c r="C17" s="66" t="s">
        <v>42</v>
      </c>
      <c r="D17" s="66"/>
      <c r="E17" s="67"/>
      <c r="F17" s="67"/>
      <c r="G17" s="67"/>
      <c r="H17" s="67"/>
      <c r="I17" s="15"/>
      <c r="J17" s="15"/>
      <c r="K17" s="13"/>
      <c r="L17" s="15"/>
      <c r="M17" s="68" t="s">
        <v>62</v>
      </c>
      <c r="N17" s="68"/>
      <c r="O17" s="68"/>
      <c r="P17" s="68"/>
      <c r="Q17" s="59">
        <v>0.05</v>
      </c>
      <c r="R17" s="59">
        <v>0.08</v>
      </c>
      <c r="S17" s="14" t="s">
        <v>71</v>
      </c>
      <c r="T17" s="40"/>
      <c r="U17" s="26"/>
      <c r="V17" s="21" t="s">
        <v>36</v>
      </c>
    </row>
    <row r="18" spans="1:22" ht="20.100000000000001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20"/>
      <c r="J18" s="20"/>
      <c r="K18" s="13"/>
      <c r="L18" s="20"/>
      <c r="M18" s="68"/>
      <c r="N18" s="68"/>
      <c r="O18" s="68"/>
      <c r="P18" s="68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20"/>
      <c r="J20" s="20"/>
      <c r="K20" s="13"/>
      <c r="L20" s="20"/>
      <c r="M20" s="68"/>
      <c r="N20" s="68"/>
      <c r="O20" s="68"/>
      <c r="P20" s="68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3.15</v>
      </c>
      <c r="R21" s="44">
        <f>SUM(R6:R20)</f>
        <v>1.3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51</v>
      </c>
      <c r="Q22" s="49"/>
      <c r="R22" s="49">
        <f>SUM(R21*B3)+Q21</f>
        <v>29.15</v>
      </c>
      <c r="S22" s="47"/>
      <c r="T22" s="52"/>
      <c r="U22" s="57"/>
      <c r="V22" s="48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equal" allowBlank="1" showErrorMessage="1" xr:uid="{00000000-0002-0000-0000-000000000000}">
          <x14:formula1>
            <xm:f>Лист1!$B$3:$B$21</xm:f>
          </x14:formula1>
          <x14:formula2>
            <xm:f>0</xm:f>
          </x14:formula2>
          <xm:sqref>C7:C20</xm:sqref>
        </x14:dataValidation>
        <x14:dataValidation type="list" operator="equal" allowBlank="1" showErrorMessage="1" xr:uid="{00000000-0002-0000-0000-000001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2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3000000}">
          <x14:formula1>
            <xm:f>Лист1!$B$3:$B$21</xm:f>
          </x14:formula1>
          <xm:sqref>C6:D6</xm:sqref>
        </x14:dataValidation>
        <x14:dataValidation type="list" operator="equal" allowBlank="1" showErrorMessage="1" xr:uid="{00000000-0002-0000-0000-000004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5000000}">
          <x14:formula1>
            <xm:f>Лист1!$I$3:$I$5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workbookViewId="0">
      <selection activeCell="E3" sqref="E3:E67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66</v>
      </c>
      <c r="I3" t="s">
        <v>32</v>
      </c>
    </row>
    <row r="4" spans="2:9" x14ac:dyDescent="0.2">
      <c r="B4" t="s">
        <v>56</v>
      </c>
      <c r="E4" t="s">
        <v>67</v>
      </c>
      <c r="I4" t="s">
        <v>34</v>
      </c>
    </row>
    <row r="5" spans="2:9" x14ac:dyDescent="0.2">
      <c r="B5" t="s">
        <v>53</v>
      </c>
      <c r="E5" t="s">
        <v>68</v>
      </c>
      <c r="I5" t="s">
        <v>36</v>
      </c>
    </row>
    <row r="6" spans="2:9" x14ac:dyDescent="0.2">
      <c r="B6" t="s">
        <v>33</v>
      </c>
      <c r="E6" t="s">
        <v>69</v>
      </c>
    </row>
    <row r="7" spans="2:9" x14ac:dyDescent="0.2">
      <c r="B7" t="s">
        <v>35</v>
      </c>
      <c r="E7" t="s">
        <v>70</v>
      </c>
    </row>
    <row r="8" spans="2:9" x14ac:dyDescent="0.2">
      <c r="B8" t="s">
        <v>52</v>
      </c>
      <c r="E8" t="s">
        <v>71</v>
      </c>
    </row>
    <row r="9" spans="2:9" x14ac:dyDescent="0.2">
      <c r="B9" t="s">
        <v>37</v>
      </c>
      <c r="E9" t="s">
        <v>72</v>
      </c>
    </row>
    <row r="10" spans="2:9" x14ac:dyDescent="0.2">
      <c r="B10" t="s">
        <v>38</v>
      </c>
      <c r="E10" t="s">
        <v>73</v>
      </c>
    </row>
    <row r="11" spans="2:9" x14ac:dyDescent="0.2">
      <c r="B11" t="s">
        <v>54</v>
      </c>
      <c r="E11" t="s">
        <v>74</v>
      </c>
    </row>
    <row r="12" spans="2:9" x14ac:dyDescent="0.2">
      <c r="B12" t="s">
        <v>39</v>
      </c>
      <c r="E12" t="s">
        <v>75</v>
      </c>
    </row>
    <row r="13" spans="2:9" x14ac:dyDescent="0.2">
      <c r="B13" t="s">
        <v>40</v>
      </c>
      <c r="E13" t="s">
        <v>76</v>
      </c>
    </row>
    <row r="14" spans="2:9" x14ac:dyDescent="0.2">
      <c r="B14" t="s">
        <v>41</v>
      </c>
      <c r="E14" t="s">
        <v>77</v>
      </c>
    </row>
    <row r="15" spans="2:9" x14ac:dyDescent="0.2">
      <c r="B15" t="s">
        <v>42</v>
      </c>
      <c r="E15" t="s">
        <v>78</v>
      </c>
    </row>
    <row r="16" spans="2:9" x14ac:dyDescent="0.2">
      <c r="B16" t="s">
        <v>43</v>
      </c>
      <c r="E16" t="s">
        <v>79</v>
      </c>
    </row>
    <row r="17" spans="2:5" x14ac:dyDescent="0.2">
      <c r="B17" t="s">
        <v>55</v>
      </c>
      <c r="E17" t="s">
        <v>80</v>
      </c>
    </row>
    <row r="18" spans="2:5" x14ac:dyDescent="0.2">
      <c r="B18" t="s">
        <v>44</v>
      </c>
      <c r="E18" t="s">
        <v>81</v>
      </c>
    </row>
    <row r="19" spans="2:5" x14ac:dyDescent="0.2">
      <c r="B19" t="s">
        <v>45</v>
      </c>
      <c r="E19" t="s">
        <v>82</v>
      </c>
    </row>
    <row r="20" spans="2:5" x14ac:dyDescent="0.2">
      <c r="B20" t="s">
        <v>46</v>
      </c>
      <c r="E20" t="s">
        <v>83</v>
      </c>
    </row>
    <row r="21" spans="2:5" x14ac:dyDescent="0.2">
      <c r="B21" t="s">
        <v>47</v>
      </c>
      <c r="E21" t="s">
        <v>84</v>
      </c>
    </row>
    <row r="22" spans="2:5" x14ac:dyDescent="0.2">
      <c r="B22" t="s">
        <v>48</v>
      </c>
      <c r="E22" t="s">
        <v>85</v>
      </c>
    </row>
    <row r="23" spans="2:5" x14ac:dyDescent="0.2">
      <c r="B23" t="s">
        <v>49</v>
      </c>
      <c r="E23" t="s">
        <v>86</v>
      </c>
    </row>
    <row r="24" spans="2:5" x14ac:dyDescent="0.2">
      <c r="E24" t="s">
        <v>87</v>
      </c>
    </row>
    <row r="25" spans="2:5" x14ac:dyDescent="0.2">
      <c r="E25" t="s">
        <v>88</v>
      </c>
    </row>
    <row r="26" spans="2:5" x14ac:dyDescent="0.2">
      <c r="E26" t="s">
        <v>89</v>
      </c>
    </row>
    <row r="27" spans="2:5" x14ac:dyDescent="0.2">
      <c r="E27" t="s">
        <v>90</v>
      </c>
    </row>
    <row r="28" spans="2:5" x14ac:dyDescent="0.2">
      <c r="E28" t="s">
        <v>91</v>
      </c>
    </row>
    <row r="29" spans="2:5" x14ac:dyDescent="0.2">
      <c r="E29" t="s">
        <v>92</v>
      </c>
    </row>
    <row r="30" spans="2:5" x14ac:dyDescent="0.2">
      <c r="E30" t="s">
        <v>93</v>
      </c>
    </row>
    <row r="31" spans="2:5" x14ac:dyDescent="0.2">
      <c r="E31" t="s">
        <v>94</v>
      </c>
    </row>
    <row r="32" spans="2:5" x14ac:dyDescent="0.2">
      <c r="E32" t="s">
        <v>95</v>
      </c>
    </row>
    <row r="33" spans="5:5" x14ac:dyDescent="0.2">
      <c r="E33" t="s">
        <v>96</v>
      </c>
    </row>
    <row r="34" spans="5:5" x14ac:dyDescent="0.2">
      <c r="E34" t="s">
        <v>97</v>
      </c>
    </row>
    <row r="35" spans="5:5" x14ac:dyDescent="0.2">
      <c r="E35" t="s">
        <v>98</v>
      </c>
    </row>
    <row r="36" spans="5:5" x14ac:dyDescent="0.2">
      <c r="E36" t="s">
        <v>99</v>
      </c>
    </row>
    <row r="37" spans="5:5" x14ac:dyDescent="0.2">
      <c r="E37" t="s">
        <v>100</v>
      </c>
    </row>
    <row r="38" spans="5:5" x14ac:dyDescent="0.2">
      <c r="E38" t="s">
        <v>101</v>
      </c>
    </row>
    <row r="39" spans="5:5" x14ac:dyDescent="0.2">
      <c r="E39" t="s">
        <v>102</v>
      </c>
    </row>
    <row r="40" spans="5:5" x14ac:dyDescent="0.2">
      <c r="E40" t="s">
        <v>103</v>
      </c>
    </row>
    <row r="41" spans="5:5" x14ac:dyDescent="0.2">
      <c r="E41" t="s">
        <v>104</v>
      </c>
    </row>
    <row r="42" spans="5:5" x14ac:dyDescent="0.2">
      <c r="E42" t="s">
        <v>105</v>
      </c>
    </row>
    <row r="43" spans="5:5" x14ac:dyDescent="0.2">
      <c r="E43" t="s">
        <v>106</v>
      </c>
    </row>
    <row r="44" spans="5:5" x14ac:dyDescent="0.2">
      <c r="E44" t="s">
        <v>107</v>
      </c>
    </row>
    <row r="45" spans="5:5" x14ac:dyDescent="0.2">
      <c r="E45" t="s">
        <v>108</v>
      </c>
    </row>
    <row r="46" spans="5:5" x14ac:dyDescent="0.2">
      <c r="E46" t="s">
        <v>109</v>
      </c>
    </row>
    <row r="47" spans="5:5" x14ac:dyDescent="0.2">
      <c r="E47" t="s">
        <v>110</v>
      </c>
    </row>
    <row r="48" spans="5:5" x14ac:dyDescent="0.2">
      <c r="E48" t="s">
        <v>111</v>
      </c>
    </row>
    <row r="49" spans="5:5" x14ac:dyDescent="0.2">
      <c r="E49" t="s">
        <v>112</v>
      </c>
    </row>
    <row r="50" spans="5:5" x14ac:dyDescent="0.2">
      <c r="E50" t="s">
        <v>113</v>
      </c>
    </row>
    <row r="51" spans="5:5" x14ac:dyDescent="0.2">
      <c r="E51" t="s">
        <v>114</v>
      </c>
    </row>
    <row r="52" spans="5:5" x14ac:dyDescent="0.2">
      <c r="E52" t="s">
        <v>115</v>
      </c>
    </row>
    <row r="53" spans="5:5" x14ac:dyDescent="0.2">
      <c r="E53" t="s">
        <v>116</v>
      </c>
    </row>
    <row r="54" spans="5:5" x14ac:dyDescent="0.2">
      <c r="E54" t="s">
        <v>117</v>
      </c>
    </row>
    <row r="55" spans="5:5" x14ac:dyDescent="0.2">
      <c r="E55" t="s">
        <v>118</v>
      </c>
    </row>
    <row r="56" spans="5:5" x14ac:dyDescent="0.2">
      <c r="E56" t="s">
        <v>119</v>
      </c>
    </row>
    <row r="57" spans="5:5" x14ac:dyDescent="0.2">
      <c r="E57" t="s">
        <v>120</v>
      </c>
    </row>
    <row r="58" spans="5:5" x14ac:dyDescent="0.2">
      <c r="E58" t="s">
        <v>121</v>
      </c>
    </row>
    <row r="59" spans="5:5" x14ac:dyDescent="0.2">
      <c r="E59" t="s">
        <v>122</v>
      </c>
    </row>
    <row r="60" spans="5:5" x14ac:dyDescent="0.2">
      <c r="E60" t="s">
        <v>123</v>
      </c>
    </row>
    <row r="61" spans="5:5" x14ac:dyDescent="0.2">
      <c r="E61" t="s">
        <v>124</v>
      </c>
    </row>
    <row r="62" spans="5:5" x14ac:dyDescent="0.2">
      <c r="E62" t="s">
        <v>125</v>
      </c>
    </row>
    <row r="63" spans="5:5" x14ac:dyDescent="0.2">
      <c r="E63" t="s">
        <v>126</v>
      </c>
    </row>
    <row r="64" spans="5:5" x14ac:dyDescent="0.2">
      <c r="E64" t="s">
        <v>127</v>
      </c>
    </row>
    <row r="65" spans="5:5" x14ac:dyDescent="0.2">
      <c r="E65" t="s">
        <v>128</v>
      </c>
    </row>
    <row r="66" spans="5:5" x14ac:dyDescent="0.2">
      <c r="E66" t="s">
        <v>129</v>
      </c>
    </row>
    <row r="67" spans="5:5" x14ac:dyDescent="0.2">
      <c r="E67" t="s">
        <v>130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$B$3:$B$25</formula1>
      <formula2>0</formula2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2023-06-13T07:35:03Z</cp:lastPrinted>
  <dcterms:created xsi:type="dcterms:W3CDTF">2023-06-07T11:24:16Z</dcterms:created>
  <dcterms:modified xsi:type="dcterms:W3CDTF">2023-08-11T18:20:10Z</dcterms:modified>
</cp:coreProperties>
</file>