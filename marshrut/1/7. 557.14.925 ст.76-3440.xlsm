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Q:\YandexDisk\WORK\Агентство\DS2023\Отбор\Задание\Маршрутные карты\1\"/>
    </mc:Choice>
  </mc:AlternateContent>
  <xr:revisionPtr revIDLastSave="0" documentId="13_ncr:1_{0CE14851-9FE5-4ACA-921E-AB578891C635}" xr6:coauthVersionLast="47" xr6:coauthVersionMax="47" xr10:uidLastSave="{00000000-0000-0000-0000-000000000000}"/>
  <bookViews>
    <workbookView xWindow="855" yWindow="-120" windowWidth="28065" windowHeight="16440" tabRatio="500" xr2:uid="{00000000-000D-0000-FFFF-FFFF00000000}"/>
  </bookViews>
  <sheets>
    <sheet name="МК" sheetId="1" r:id="rId1"/>
    <sheet name="Лист2" sheetId="3" r:id="rId2"/>
    <sheet name="Лист3" sheetId="4" r:id="rId3"/>
    <sheet name="Лист1" sheetId="2" r:id="rId4"/>
  </sheets>
  <definedNames>
    <definedName name="__xlfn_IFERROR">#N/A</definedName>
    <definedName name="Excel_BuiltIn__FilterDatabase" localSheetId="3">Лист1!$B$3</definedName>
    <definedName name="Excel_BuiltIn__FilterDatabase" localSheetId="0">МК!$A$2:$AA$2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1" i="4" l="1"/>
  <c r="Q21" i="4"/>
  <c r="R21" i="3"/>
  <c r="Q21" i="3"/>
  <c r="E3" i="4"/>
  <c r="D3" i="3"/>
  <c r="F3" i="4"/>
  <c r="G3" i="3"/>
  <c r="D3" i="4"/>
  <c r="F3" i="3"/>
  <c r="I3" i="4"/>
  <c r="E3" i="3"/>
  <c r="I3" i="3"/>
  <c r="H3" i="3"/>
  <c r="G3" i="4"/>
  <c r="H3" i="4"/>
  <c r="R22" i="4" l="1"/>
  <c r="R22" i="3"/>
  <c r="J3" i="4"/>
  <c r="K3" i="4"/>
  <c r="L3" i="4"/>
  <c r="K3" i="3"/>
  <c r="L3" i="3"/>
  <c r="J3" i="3"/>
  <c r="R3" i="3" s="1"/>
  <c r="P3" i="4"/>
  <c r="P3" i="3"/>
  <c r="R3" i="4" l="1"/>
  <c r="Q3" i="4"/>
  <c r="Q3" i="3"/>
  <c r="Q21" i="1"/>
  <c r="R21" i="1"/>
  <c r="F3" i="1"/>
  <c r="E3" i="1"/>
  <c r="D3" i="1"/>
  <c r="R22" i="1" l="1"/>
  <c r="G3" i="1"/>
  <c r="H3" i="1"/>
  <c r="I3" i="1"/>
  <c r="J3" i="1" l="1"/>
  <c r="L3" i="1"/>
  <c r="K3" i="1"/>
  <c r="R3" i="1"/>
  <c r="P3" i="1"/>
  <c r="Q3" i="1" l="1"/>
</calcChain>
</file>

<file path=xl/sharedStrings.xml><?xml version="1.0" encoding="utf-8"?>
<sst xmlns="http://schemas.openxmlformats.org/spreadsheetml/2006/main" count="207" uniqueCount="110">
  <si>
    <t>Цех №23</t>
  </si>
  <si>
    <t>Технологическая карта обработки</t>
  </si>
  <si>
    <t>Номер КД</t>
  </si>
  <si>
    <t>Статья расхода</t>
  </si>
  <si>
    <t>Наименование детали</t>
  </si>
  <si>
    <t>Кол-во</t>
  </si>
  <si>
    <t>Размер заготовки (чистовой размер)</t>
  </si>
  <si>
    <t>Чистовые размеры</t>
  </si>
  <si>
    <t>Припуски, мм</t>
  </si>
  <si>
    <t>Размер с припусками, мм</t>
  </si>
  <si>
    <t>Марка материала</t>
  </si>
  <si>
    <t>Плотность</t>
  </si>
  <si>
    <t>Ед. изм.</t>
  </si>
  <si>
    <t>Норма на 1 дет.</t>
  </si>
  <si>
    <t>Норма на объем</t>
  </si>
  <si>
    <t>Материал по технологии</t>
  </si>
  <si>
    <t>Фактически используемый материал</t>
  </si>
  <si>
    <t>Кол-во (в единицах измерения нормы)</t>
  </si>
  <si>
    <t>Статус</t>
  </si>
  <si>
    <t>кг</t>
  </si>
  <si>
    <t>№ опер.</t>
  </si>
  <si>
    <t>Наименование операции</t>
  </si>
  <si>
    <t>Краткий текст</t>
  </si>
  <si>
    <t>Время подготовительное</t>
  </si>
  <si>
    <t xml:space="preserve">Время на 1шт. </t>
  </si>
  <si>
    <t>Фамилия исполнителя</t>
  </si>
  <si>
    <t>Подпись</t>
  </si>
  <si>
    <t>Дата изготовления</t>
  </si>
  <si>
    <t>Итого н/ч:</t>
  </si>
  <si>
    <t>Операции</t>
  </si>
  <si>
    <t>ФИО</t>
  </si>
  <si>
    <t>Бесцентровошлифовальная</t>
  </si>
  <si>
    <t>Выполнено</t>
  </si>
  <si>
    <t>Заготовительная</t>
  </si>
  <si>
    <t>Не выполнено</t>
  </si>
  <si>
    <t>Заточная</t>
  </si>
  <si>
    <t>В работе</t>
  </si>
  <si>
    <t>Круглошлифовальная</t>
  </si>
  <si>
    <t>Оптикошлифовальная</t>
  </si>
  <si>
    <t>Плоскошлифовальная</t>
  </si>
  <si>
    <t>Резьбошлифовальная</t>
  </si>
  <si>
    <t>Слесарная</t>
  </si>
  <si>
    <t>Строгальная</t>
  </si>
  <si>
    <t>Термическая</t>
  </si>
  <si>
    <t>Токарная</t>
  </si>
  <si>
    <t>Токарная с ЧПУ</t>
  </si>
  <si>
    <t>Фрезерная</t>
  </si>
  <si>
    <t>Фрезерная с ЧПУ</t>
  </si>
  <si>
    <t>Электроэрозионная</t>
  </si>
  <si>
    <t>Код в 1С</t>
  </si>
  <si>
    <t>Всего н/ч</t>
  </si>
  <si>
    <t>Контрольная</t>
  </si>
  <si>
    <t>Гальваническая</t>
  </si>
  <si>
    <t>Лекальная</t>
  </si>
  <si>
    <t>ТВЧ</t>
  </si>
  <si>
    <t>Галтовочная</t>
  </si>
  <si>
    <t>Пескоструйная</t>
  </si>
  <si>
    <t>Координатно-расточная</t>
  </si>
  <si>
    <t>Координатно - шлиф.</t>
  </si>
  <si>
    <t>П/ф</t>
  </si>
  <si>
    <t>б/м</t>
  </si>
  <si>
    <t>1-7</t>
  </si>
  <si>
    <t>76-3440</t>
  </si>
  <si>
    <t>Разобрать-собрать прессформу.</t>
  </si>
  <si>
    <t>Стержень</t>
  </si>
  <si>
    <t>d3,1х160</t>
  </si>
  <si>
    <t>У8А</t>
  </si>
  <si>
    <t>Калить HRC 50…54</t>
  </si>
  <si>
    <t>Вставка</t>
  </si>
  <si>
    <t>Алиев В.Х</t>
  </si>
  <si>
    <t>Бондарь И.А.</t>
  </si>
  <si>
    <t>Барков С.И.</t>
  </si>
  <si>
    <t>Быков В.В.</t>
  </si>
  <si>
    <t>Воронин А.С.</t>
  </si>
  <si>
    <t>Гагарин Н.А.</t>
  </si>
  <si>
    <t>Ганчук А.М.</t>
  </si>
  <si>
    <t>Горностаев П.П.</t>
  </si>
  <si>
    <t>Гречавкин Л.Х.</t>
  </si>
  <si>
    <t>Гуляев Е.К.</t>
  </si>
  <si>
    <t>Гумеров В.С.</t>
  </si>
  <si>
    <t>Гундарев П.М.</t>
  </si>
  <si>
    <t>Давыдов С.А.</t>
  </si>
  <si>
    <t>Данилевский А.С.</t>
  </si>
  <si>
    <t>Денисов К.У.</t>
  </si>
  <si>
    <t>Ермоленко С.Н.</t>
  </si>
  <si>
    <t>Есаульский С.В.</t>
  </si>
  <si>
    <t>Иванова Н.В.</t>
  </si>
  <si>
    <t>Иваненко Н.Р.</t>
  </si>
  <si>
    <t>Катковский Д.К.</t>
  </si>
  <si>
    <t>Копытов В.В.</t>
  </si>
  <si>
    <t>Костенюк А.А.</t>
  </si>
  <si>
    <t>Краснобрюхов А.Д.</t>
  </si>
  <si>
    <t>Кручиненко М.М.</t>
  </si>
  <si>
    <t>Кузнечный А.П.</t>
  </si>
  <si>
    <t>Купцова П.С.</t>
  </si>
  <si>
    <t>Ларин В.В.</t>
  </si>
  <si>
    <t>Ларцевич Е.Е.</t>
  </si>
  <si>
    <t>Лепеструхин С.К.</t>
  </si>
  <si>
    <t>Лихоманенко П.П.</t>
  </si>
  <si>
    <t>Максимчук В.М.</t>
  </si>
  <si>
    <t>Мартынов В.В.</t>
  </si>
  <si>
    <t>Мельниченко В.Д.</t>
  </si>
  <si>
    <t>Меркулова А.С.</t>
  </si>
  <si>
    <t>Менделеев П.П.</t>
  </si>
  <si>
    <t>Миловиднов Д.Д.</t>
  </si>
  <si>
    <t>Немчук В.П.</t>
  </si>
  <si>
    <t>Нестеров В.В.</t>
  </si>
  <si>
    <t>557.14.925</t>
  </si>
  <si>
    <t>557.14.925-6</t>
  </si>
  <si>
    <t>557.14.925-8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</si>
</sst>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12" x14ac:knownFonts="1">
    <font>
      <sz val="10"/>
      <name val="Arial"/>
      <family val="2"/>
      <charset val="204"/>
    </font>
    <font>
      <sz val="11"/>
      <color indexed="8"/>
      <name val="Calibri"/>
      <family val="2"/>
      <charset val="204"/>
    </font>
    <font>
      <sz val="11"/>
      <color indexed="8"/>
      <name val="Times New Roman"/>
      <family val="1"/>
      <charset val="204"/>
    </font>
    <font>
      <sz val="10"/>
      <color indexed="8"/>
      <name val="Calibri"/>
      <family val="2"/>
      <charset val="204"/>
    </font>
    <font>
      <b/>
      <i/>
      <sz val="12"/>
      <color indexed="8"/>
      <name val="Arial Black"/>
      <family val="2"/>
      <charset val="204"/>
    </font>
    <font>
      <b/>
      <sz val="11"/>
      <color indexed="8"/>
      <name val="Times New Roman"/>
      <family val="1"/>
      <charset val="204"/>
    </font>
    <font>
      <i/>
      <sz val="10"/>
      <color indexed="8"/>
      <name val="Calibri"/>
      <family val="2"/>
      <charset val="204"/>
    </font>
    <font>
      <i/>
      <sz val="11"/>
      <color indexed="8"/>
      <name val="Arial Black"/>
      <family val="2"/>
      <charset val="204"/>
    </font>
    <font>
      <sz val="11"/>
      <color indexed="8"/>
      <name val="Arial Black"/>
      <family val="2"/>
      <charset val="204"/>
    </font>
    <font>
      <sz val="12"/>
      <color indexed="8"/>
      <name val="Times New Roman"/>
      <family val="1"/>
      <charset val="204"/>
    </font>
    <font>
      <sz val="8"/>
      <color indexed="8"/>
      <name val="Calibri"/>
      <family val="2"/>
      <charset val="204"/>
    </font>
    <font>
      <sz val="10"/>
      <color indexed="8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26"/>
      </patternFill>
    </fill>
  </fills>
  <borders count="31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double">
        <color indexed="8"/>
      </left>
      <right style="double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74">
    <xf numFmtId="0" fontId="0" fillId="0" borderId="0" xfId="0"/>
    <xf numFmtId="0" fontId="2" fillId="0" borderId="0" xfId="1" applyFont="1"/>
    <xf numFmtId="0" fontId="2" fillId="0" borderId="0" xfId="1" applyFont="1" applyAlignment="1">
      <alignment horizontal="center"/>
    </xf>
    <xf numFmtId="0" fontId="5" fillId="0" borderId="2" xfId="1" applyFont="1" applyBorder="1" applyAlignment="1">
      <alignment horizontal="center" vertical="center" wrapText="1"/>
    </xf>
    <xf numFmtId="0" fontId="5" fillId="3" borderId="2" xfId="1" applyFont="1" applyFill="1" applyBorder="1" applyAlignment="1">
      <alignment horizontal="center" vertical="center" wrapText="1"/>
    </xf>
    <xf numFmtId="0" fontId="5" fillId="3" borderId="3" xfId="1" applyFont="1" applyFill="1" applyBorder="1" applyAlignment="1">
      <alignment horizontal="center" vertical="center" wrapText="1"/>
    </xf>
    <xf numFmtId="0" fontId="5" fillId="3" borderId="4" xfId="1" applyFont="1" applyFill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 wrapText="1"/>
    </xf>
    <xf numFmtId="0" fontId="7" fillId="3" borderId="8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2" fillId="3" borderId="9" xfId="1" applyFont="1" applyFill="1" applyBorder="1" applyAlignment="1">
      <alignment horizontal="center" vertical="center"/>
    </xf>
    <xf numFmtId="0" fontId="2" fillId="0" borderId="10" xfId="1" applyFont="1" applyBorder="1" applyAlignment="1">
      <alignment horizontal="center" vertical="center"/>
    </xf>
    <xf numFmtId="164" fontId="2" fillId="0" borderId="11" xfId="1" applyNumberFormat="1" applyFont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3" fillId="0" borderId="1" xfId="1" applyFont="1" applyBorder="1" applyAlignment="1">
      <alignment horizontal="center" vertical="center" wrapText="1"/>
    </xf>
    <xf numFmtId="0" fontId="2" fillId="4" borderId="1" xfId="1" applyFont="1" applyFill="1" applyBorder="1" applyAlignment="1">
      <alignment horizontal="center" vertical="center" wrapText="1"/>
    </xf>
    <xf numFmtId="0" fontId="2" fillId="4" borderId="1" xfId="1" applyFont="1" applyFill="1" applyBorder="1" applyAlignment="1">
      <alignment horizontal="center" vertical="center"/>
    </xf>
    <xf numFmtId="0" fontId="2" fillId="5" borderId="1" xfId="1" applyFont="1" applyFill="1" applyBorder="1" applyAlignment="1">
      <alignment horizontal="center" vertical="center"/>
    </xf>
    <xf numFmtId="49" fontId="2" fillId="4" borderId="1" xfId="1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5" fillId="0" borderId="17" xfId="1" applyFont="1" applyBorder="1" applyAlignment="1">
      <alignment horizontal="center" vertical="center" wrapText="1"/>
    </xf>
    <xf numFmtId="0" fontId="2" fillId="0" borderId="19" xfId="1" applyFont="1" applyBorder="1" applyAlignment="1">
      <alignment horizontal="center" vertical="center"/>
    </xf>
    <xf numFmtId="0" fontId="2" fillId="0" borderId="21" xfId="1" applyFont="1" applyBorder="1" applyAlignment="1">
      <alignment horizontal="center" vertical="center"/>
    </xf>
    <xf numFmtId="0" fontId="5" fillId="0" borderId="20" xfId="1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9" fillId="3" borderId="22" xfId="0" applyFont="1" applyFill="1" applyBorder="1" applyAlignment="1">
      <alignment horizontal="center" vertical="center"/>
    </xf>
    <xf numFmtId="0" fontId="2" fillId="0" borderId="14" xfId="1" applyFont="1" applyBorder="1" applyAlignment="1">
      <alignment horizontal="center" vertical="center"/>
    </xf>
    <xf numFmtId="0" fontId="2" fillId="0" borderId="23" xfId="1" applyFont="1" applyBorder="1" applyAlignment="1">
      <alignment horizontal="center" vertical="center"/>
    </xf>
    <xf numFmtId="0" fontId="2" fillId="0" borderId="18" xfId="1" applyFont="1" applyBorder="1" applyAlignment="1">
      <alignment horizontal="center" vertical="center"/>
    </xf>
    <xf numFmtId="0" fontId="2" fillId="0" borderId="24" xfId="1" applyFont="1" applyBorder="1"/>
    <xf numFmtId="0" fontId="2" fillId="0" borderId="25" xfId="1" applyFont="1" applyBorder="1" applyAlignment="1">
      <alignment horizontal="center"/>
    </xf>
    <xf numFmtId="0" fontId="2" fillId="0" borderId="25" xfId="1" applyFont="1" applyBorder="1"/>
    <xf numFmtId="0" fontId="2" fillId="0" borderId="26" xfId="1" applyFont="1" applyBorder="1" applyAlignment="1">
      <alignment horizontal="center"/>
    </xf>
    <xf numFmtId="0" fontId="2" fillId="0" borderId="22" xfId="1" applyFont="1" applyBorder="1" applyAlignment="1">
      <alignment horizontal="center"/>
    </xf>
    <xf numFmtId="0" fontId="2" fillId="0" borderId="27" xfId="1" applyFont="1" applyBorder="1" applyAlignment="1">
      <alignment horizontal="center" vertical="center"/>
    </xf>
    <xf numFmtId="0" fontId="8" fillId="3" borderId="28" xfId="0" applyFont="1" applyFill="1" applyBorder="1" applyAlignment="1">
      <alignment horizontal="center" vertical="center"/>
    </xf>
    <xf numFmtId="0" fontId="2" fillId="0" borderId="29" xfId="1" applyFont="1" applyBorder="1" applyAlignment="1">
      <alignment horizontal="center"/>
    </xf>
    <xf numFmtId="0" fontId="2" fillId="0" borderId="28" xfId="1" applyFont="1" applyBorder="1" applyAlignment="1">
      <alignment horizontal="center" vertical="center"/>
    </xf>
    <xf numFmtId="0" fontId="2" fillId="0" borderId="25" xfId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2" fillId="0" borderId="26" xfId="1" applyFont="1" applyBorder="1" applyAlignment="1">
      <alignment horizontal="center" vertical="center"/>
    </xf>
    <xf numFmtId="0" fontId="2" fillId="0" borderId="30" xfId="1" applyFont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11" fillId="4" borderId="1" xfId="1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left" vertical="center" wrapText="1"/>
    </xf>
    <xf numFmtId="0" fontId="2" fillId="3" borderId="16" xfId="0" applyFont="1" applyFill="1" applyBorder="1" applyAlignment="1">
      <alignment horizontal="left" vertical="center" wrapText="1"/>
    </xf>
    <xf numFmtId="0" fontId="2" fillId="3" borderId="10" xfId="0" applyFont="1" applyFill="1" applyBorder="1" applyAlignment="1">
      <alignment horizontal="left" vertical="center" wrapText="1"/>
    </xf>
    <xf numFmtId="0" fontId="6" fillId="0" borderId="1" xfId="0" applyFont="1" applyBorder="1" applyAlignment="1">
      <alignment horizontal="center" vertical="center"/>
    </xf>
    <xf numFmtId="0" fontId="5" fillId="3" borderId="1" xfId="0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5" fillId="2" borderId="2" xfId="1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Таблица3" displayName="Таблица3" ref="B2:B28" totalsRowShown="0">
  <autoFilter ref="B2:B28" xr:uid="{00000000-0009-0000-0100-000003000000}"/>
  <sortState xmlns:xlrd2="http://schemas.microsoft.com/office/spreadsheetml/2017/richdata2" ref="B3:B28">
    <sortCondition ref="B2:B28"/>
  </sortState>
  <tableColumns count="1">
    <tableColumn id="1" xr3:uid="{00000000-0010-0000-0000-000001000000}" name="Операции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Таблица4" displayName="Таблица4" ref="E2:E71" totalsRowShown="0">
  <autoFilter ref="E2:E71" xr:uid="{00000000-0009-0000-0100-000004000000}"/>
  <sortState xmlns:xlrd2="http://schemas.microsoft.com/office/spreadsheetml/2017/richdata2" ref="E3:E67">
    <sortCondition ref="E2:E71"/>
  </sortState>
  <tableColumns count="1">
    <tableColumn id="1" xr3:uid="{00000000-0010-0000-0100-000001000000}" name="ФИО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Таблица5" displayName="Таблица5" ref="I2:I5" totalsRowShown="0">
  <autoFilter ref="I2:I5" xr:uid="{00000000-0009-0000-0100-000005000000}"/>
  <tableColumns count="1">
    <tableColumn id="1" xr3:uid="{00000000-0010-0000-0200-000001000000}" name="Статус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IV22"/>
  <sheetViews>
    <sheetView tabSelected="1" workbookViewId="0">
      <pane ySplit="2" topLeftCell="A3" activePane="bottomLeft" state="frozen"/>
      <selection pane="bottomLeft" activeCell="W3" sqref="W3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8" t="s">
        <v>0</v>
      </c>
      <c r="B1" s="68"/>
      <c r="C1" s="71" t="s">
        <v>1</v>
      </c>
      <c r="D1" s="71"/>
      <c r="E1" s="71"/>
      <c r="F1" s="71"/>
      <c r="G1" s="21"/>
      <c r="H1" s="21"/>
      <c r="I1" s="21"/>
      <c r="J1" s="21"/>
      <c r="K1" s="21"/>
      <c r="L1" s="21"/>
      <c r="M1" s="33" t="s">
        <v>61</v>
      </c>
      <c r="N1" s="21"/>
      <c r="O1" s="68" t="s">
        <v>2</v>
      </c>
      <c r="P1" s="68"/>
      <c r="Q1" s="69" t="s">
        <v>107</v>
      </c>
      <c r="R1" s="69"/>
      <c r="S1" s="68" t="s">
        <v>3</v>
      </c>
      <c r="T1" s="70"/>
      <c r="U1" s="34" t="s">
        <v>62</v>
      </c>
      <c r="V1" s="73">
        <v>45098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72" t="s">
        <v>7</v>
      </c>
      <c r="E2" s="72"/>
      <c r="F2" s="72"/>
      <c r="G2" s="72" t="s">
        <v>8</v>
      </c>
      <c r="H2" s="72"/>
      <c r="I2" s="72"/>
      <c r="J2" s="72" t="s">
        <v>9</v>
      </c>
      <c r="K2" s="72"/>
      <c r="L2" s="72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5" t="s">
        <v>16</v>
      </c>
      <c r="T2" s="38" t="s">
        <v>49</v>
      </c>
      <c r="U2" s="7" t="s">
        <v>17</v>
      </c>
      <c r="V2" s="8"/>
    </row>
    <row r="3" spans="1:256" ht="17.100000000000001" customHeight="1" x14ac:dyDescent="0.25">
      <c r="A3" s="30" t="s">
        <v>59</v>
      </c>
      <c r="B3" s="31">
        <v>1</v>
      </c>
      <c r="C3" s="31" t="s">
        <v>60</v>
      </c>
      <c r="D3" s="32">
        <f>GETSIZE(C3,1)</f>
        <v>0</v>
      </c>
      <c r="E3" s="32">
        <f>GETSIZE(C3,2)</f>
        <v>0</v>
      </c>
      <c r="F3" s="32">
        <f>GETSIZE(C3,3)</f>
        <v>0</v>
      </c>
      <c r="G3" s="32">
        <f>Pripusk($D3:$F3,1)</f>
        <v>0</v>
      </c>
      <c r="H3" s="32">
        <f>Pripusk($D3:$F3,2)</f>
        <v>0</v>
      </c>
      <c r="I3" s="32">
        <f>Pripusk($D3:$F3,3)</f>
        <v>0</v>
      </c>
      <c r="J3" s="32">
        <f>IFERROR(D3+G3,D3)</f>
        <v>0</v>
      </c>
      <c r="K3" s="32">
        <f>IFERROR(E3+H3,E3)</f>
        <v>0</v>
      </c>
      <c r="L3" s="32">
        <f>IFERROR(F3+I3,F3)</f>
        <v>0</v>
      </c>
      <c r="M3" s="31"/>
      <c r="N3" s="22">
        <v>7.8</v>
      </c>
      <c r="O3" s="22" t="s">
        <v>19</v>
      </c>
      <c r="P3" s="23">
        <f>CALCULATEMASS(J3:L3,O3,N3)</f>
        <v>0</v>
      </c>
      <c r="Q3" s="24">
        <f>P3*B3</f>
        <v>0</v>
      </c>
      <c r="R3" s="25" t="str">
        <f>IF(J3&lt;&gt;"D",J3&amp;"x"&amp;K3&amp;"x"&amp;L3,J3&amp;K3&amp;"x"&amp;L3)&amp;" "&amp;M3</f>
        <v xml:space="preserve">0x0x0 </v>
      </c>
      <c r="S3" s="36"/>
      <c r="T3" s="37"/>
      <c r="U3" s="26"/>
      <c r="V3" s="27"/>
    </row>
    <row r="4" spans="1:256" ht="12.75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</row>
    <row r="5" spans="1:256" ht="30.75" customHeight="1" x14ac:dyDescent="0.25">
      <c r="A5" s="71" t="s">
        <v>20</v>
      </c>
      <c r="B5" s="71"/>
      <c r="C5" s="71" t="s">
        <v>21</v>
      </c>
      <c r="D5" s="71"/>
      <c r="E5" s="68" t="s">
        <v>22</v>
      </c>
      <c r="F5" s="68"/>
      <c r="G5" s="68"/>
      <c r="H5" s="68"/>
      <c r="I5" s="10" t="s">
        <v>23</v>
      </c>
      <c r="J5" s="11" t="s">
        <v>24</v>
      </c>
      <c r="K5" s="12" t="s">
        <v>25</v>
      </c>
      <c r="L5" s="18" t="s">
        <v>26</v>
      </c>
      <c r="M5" s="68" t="s">
        <v>22</v>
      </c>
      <c r="N5" s="68"/>
      <c r="O5" s="68"/>
      <c r="P5" s="68"/>
      <c r="Q5" s="55" t="s">
        <v>23</v>
      </c>
      <c r="R5" s="19" t="s">
        <v>24</v>
      </c>
      <c r="S5" s="12" t="s">
        <v>25</v>
      </c>
      <c r="T5" s="39" t="s">
        <v>26</v>
      </c>
      <c r="U5" s="29" t="s">
        <v>27</v>
      </c>
      <c r="V5" s="21" t="s">
        <v>18</v>
      </c>
    </row>
    <row r="6" spans="1:256" ht="20.100000000000001" customHeight="1" x14ac:dyDescent="0.25">
      <c r="A6" s="64">
        <v>1</v>
      </c>
      <c r="B6" s="64"/>
      <c r="C6" s="65" t="s">
        <v>41</v>
      </c>
      <c r="D6" s="65"/>
      <c r="E6" s="66"/>
      <c r="F6" s="66"/>
      <c r="G6" s="66"/>
      <c r="H6" s="66"/>
      <c r="I6" s="20"/>
      <c r="J6" s="20"/>
      <c r="K6" s="13"/>
      <c r="L6" s="20"/>
      <c r="M6" s="67" t="s">
        <v>63</v>
      </c>
      <c r="N6" s="67"/>
      <c r="O6" s="67"/>
      <c r="P6" s="67"/>
      <c r="Q6" s="58"/>
      <c r="R6" s="58"/>
      <c r="S6" s="14" t="s">
        <v>74</v>
      </c>
      <c r="T6" s="40"/>
      <c r="U6" s="26"/>
      <c r="V6" s="21" t="s">
        <v>36</v>
      </c>
    </row>
    <row r="7" spans="1:256" ht="20.100000000000001" customHeight="1" x14ac:dyDescent="0.25">
      <c r="A7" s="64">
        <v>2</v>
      </c>
      <c r="B7" s="64"/>
      <c r="C7" s="65"/>
      <c r="D7" s="65"/>
      <c r="E7" s="66"/>
      <c r="F7" s="66"/>
      <c r="G7" s="66"/>
      <c r="H7" s="66"/>
      <c r="I7" s="15"/>
      <c r="J7" s="15"/>
      <c r="K7" s="13"/>
      <c r="L7" s="15"/>
      <c r="M7" s="67"/>
      <c r="N7" s="67"/>
      <c r="O7" s="67"/>
      <c r="P7" s="67"/>
      <c r="Q7" s="59"/>
      <c r="R7" s="59"/>
      <c r="S7" s="14"/>
      <c r="T7" s="40"/>
      <c r="U7" s="26"/>
      <c r="V7" s="21"/>
    </row>
    <row r="8" spans="1:256" ht="20.100000000000001" customHeight="1" x14ac:dyDescent="0.25">
      <c r="A8" s="64">
        <v>3</v>
      </c>
      <c r="B8" s="64"/>
      <c r="C8" s="65"/>
      <c r="D8" s="65"/>
      <c r="E8" s="66"/>
      <c r="F8" s="66"/>
      <c r="G8" s="66"/>
      <c r="H8" s="66"/>
      <c r="I8" s="20"/>
      <c r="J8" s="20"/>
      <c r="K8" s="13"/>
      <c r="L8" s="20"/>
      <c r="M8" s="67"/>
      <c r="N8" s="67"/>
      <c r="O8" s="67"/>
      <c r="P8" s="67"/>
      <c r="Q8" s="58"/>
      <c r="R8" s="58"/>
      <c r="S8" s="14"/>
      <c r="T8" s="40"/>
      <c r="U8" s="26"/>
      <c r="V8" s="21"/>
    </row>
    <row r="9" spans="1:256" ht="20.100000000000001" customHeight="1" x14ac:dyDescent="0.25">
      <c r="A9" s="64">
        <v>4</v>
      </c>
      <c r="B9" s="64"/>
      <c r="C9" s="65"/>
      <c r="D9" s="65"/>
      <c r="E9" s="66"/>
      <c r="F9" s="66"/>
      <c r="G9" s="66"/>
      <c r="H9" s="66"/>
      <c r="I9" s="15"/>
      <c r="J9" s="15"/>
      <c r="K9" s="13"/>
      <c r="L9" s="15"/>
      <c r="M9" s="67"/>
      <c r="N9" s="67"/>
      <c r="O9" s="67"/>
      <c r="P9" s="67"/>
      <c r="Q9" s="59"/>
      <c r="R9" s="59"/>
      <c r="S9" s="14"/>
      <c r="T9" s="41"/>
      <c r="U9" s="26"/>
      <c r="V9" s="21"/>
    </row>
    <row r="10" spans="1:256" ht="20.100000000000001" customHeight="1" x14ac:dyDescent="0.25">
      <c r="A10" s="64">
        <v>5</v>
      </c>
      <c r="B10" s="64"/>
      <c r="C10" s="65"/>
      <c r="D10" s="65"/>
      <c r="E10" s="66"/>
      <c r="F10" s="66"/>
      <c r="G10" s="66"/>
      <c r="H10" s="66"/>
      <c r="I10" s="20"/>
      <c r="J10" s="20"/>
      <c r="K10" s="13"/>
      <c r="L10" s="20"/>
      <c r="M10" s="67"/>
      <c r="N10" s="67"/>
      <c r="O10" s="67"/>
      <c r="P10" s="67"/>
      <c r="Q10" s="58"/>
      <c r="R10" s="58"/>
      <c r="S10" s="14"/>
      <c r="T10" s="40"/>
      <c r="U10" s="26"/>
      <c r="V10" s="21"/>
    </row>
    <row r="11" spans="1:256" ht="20.100000000000001" customHeight="1" x14ac:dyDescent="0.25">
      <c r="A11" s="64">
        <v>6</v>
      </c>
      <c r="B11" s="64"/>
      <c r="C11" s="65"/>
      <c r="D11" s="65"/>
      <c r="E11" s="66"/>
      <c r="F11" s="66"/>
      <c r="G11" s="66"/>
      <c r="H11" s="66"/>
      <c r="I11" s="15"/>
      <c r="J11" s="15"/>
      <c r="K11" s="13"/>
      <c r="L11" s="15"/>
      <c r="M11" s="67"/>
      <c r="N11" s="67"/>
      <c r="O11" s="67"/>
      <c r="P11" s="67"/>
      <c r="Q11" s="59"/>
      <c r="R11" s="59"/>
      <c r="S11" s="14"/>
      <c r="T11" s="40"/>
      <c r="U11" s="26"/>
      <c r="V11" s="21"/>
    </row>
    <row r="12" spans="1:256" ht="20.100000000000001" customHeight="1" x14ac:dyDescent="0.25">
      <c r="A12" s="64">
        <v>7</v>
      </c>
      <c r="B12" s="64"/>
      <c r="C12" s="65"/>
      <c r="D12" s="65"/>
      <c r="E12" s="66"/>
      <c r="F12" s="66"/>
      <c r="G12" s="66"/>
      <c r="H12" s="66"/>
      <c r="I12" s="20"/>
      <c r="J12" s="20"/>
      <c r="K12" s="13"/>
      <c r="L12" s="20"/>
      <c r="M12" s="67"/>
      <c r="N12" s="67"/>
      <c r="O12" s="67"/>
      <c r="P12" s="67"/>
      <c r="Q12" s="58"/>
      <c r="R12" s="58"/>
      <c r="S12" s="14"/>
      <c r="T12" s="40"/>
      <c r="U12" s="26"/>
      <c r="V12" s="21"/>
    </row>
    <row r="13" spans="1:256" ht="20.100000000000001" customHeight="1" x14ac:dyDescent="0.25">
      <c r="A13" s="64">
        <v>8</v>
      </c>
      <c r="B13" s="64"/>
      <c r="C13" s="65"/>
      <c r="D13" s="65"/>
      <c r="E13" s="13"/>
      <c r="F13" s="16"/>
      <c r="G13" s="16"/>
      <c r="H13" s="17"/>
      <c r="I13" s="20"/>
      <c r="J13" s="20"/>
      <c r="K13" s="13"/>
      <c r="L13" s="20"/>
      <c r="M13" s="61"/>
      <c r="N13" s="62"/>
      <c r="O13" s="62"/>
      <c r="P13" s="63"/>
      <c r="Q13" s="58"/>
      <c r="R13" s="58"/>
      <c r="S13" s="14"/>
      <c r="T13" s="40"/>
      <c r="U13" s="26"/>
      <c r="V13" s="21"/>
    </row>
    <row r="14" spans="1:256" ht="20.100000000000001" customHeight="1" x14ac:dyDescent="0.25">
      <c r="A14" s="64">
        <v>9</v>
      </c>
      <c r="B14" s="64"/>
      <c r="C14" s="65"/>
      <c r="D14" s="65"/>
      <c r="E14" s="66"/>
      <c r="F14" s="66"/>
      <c r="G14" s="66"/>
      <c r="H14" s="66"/>
      <c r="I14" s="20"/>
      <c r="J14" s="20"/>
      <c r="K14" s="13"/>
      <c r="L14" s="20"/>
      <c r="M14" s="67"/>
      <c r="N14" s="67"/>
      <c r="O14" s="67"/>
      <c r="P14" s="67"/>
      <c r="Q14" s="58"/>
      <c r="R14" s="58"/>
      <c r="S14" s="14"/>
      <c r="T14" s="40"/>
      <c r="U14" s="26"/>
      <c r="V14" s="21"/>
    </row>
    <row r="15" spans="1:256" ht="20.100000000000001" customHeight="1" x14ac:dyDescent="0.25">
      <c r="A15" s="64">
        <v>10</v>
      </c>
      <c r="B15" s="64"/>
      <c r="C15" s="65"/>
      <c r="D15" s="65"/>
      <c r="E15" s="66"/>
      <c r="F15" s="66"/>
      <c r="G15" s="66"/>
      <c r="H15" s="66"/>
      <c r="I15" s="15"/>
      <c r="J15" s="15"/>
      <c r="K15" s="13"/>
      <c r="L15" s="15"/>
      <c r="M15" s="67"/>
      <c r="N15" s="67"/>
      <c r="O15" s="67"/>
      <c r="P15" s="67"/>
      <c r="Q15" s="59"/>
      <c r="R15" s="59"/>
      <c r="S15" s="14"/>
      <c r="T15" s="40"/>
      <c r="U15" s="26"/>
      <c r="V15" s="21"/>
    </row>
    <row r="16" spans="1:256" ht="20.100000000000001" customHeight="1" x14ac:dyDescent="0.25">
      <c r="A16" s="64">
        <v>11</v>
      </c>
      <c r="B16" s="64"/>
      <c r="C16" s="65"/>
      <c r="D16" s="65"/>
      <c r="E16" s="66"/>
      <c r="F16" s="66"/>
      <c r="G16" s="66"/>
      <c r="H16" s="66"/>
      <c r="I16" s="20"/>
      <c r="J16" s="20"/>
      <c r="K16" s="13"/>
      <c r="L16" s="20"/>
      <c r="M16" s="67"/>
      <c r="N16" s="67"/>
      <c r="O16" s="67"/>
      <c r="P16" s="67"/>
      <c r="Q16" s="58"/>
      <c r="R16" s="58"/>
      <c r="S16" s="14"/>
      <c r="T16" s="40"/>
      <c r="U16" s="26"/>
      <c r="V16" s="21"/>
    </row>
    <row r="17" spans="1:22" ht="20.100000000000001" customHeight="1" x14ac:dyDescent="0.25">
      <c r="A17" s="64">
        <v>12</v>
      </c>
      <c r="B17" s="64"/>
      <c r="C17" s="65"/>
      <c r="D17" s="65"/>
      <c r="E17" s="66"/>
      <c r="F17" s="66"/>
      <c r="G17" s="66"/>
      <c r="H17" s="66"/>
      <c r="I17" s="15"/>
      <c r="J17" s="15"/>
      <c r="K17" s="13"/>
      <c r="L17" s="15"/>
      <c r="M17" s="67"/>
      <c r="N17" s="67"/>
      <c r="O17" s="67"/>
      <c r="P17" s="67"/>
      <c r="Q17" s="59"/>
      <c r="R17" s="59"/>
      <c r="S17" s="14"/>
      <c r="T17" s="40"/>
      <c r="U17" s="26"/>
      <c r="V17" s="21"/>
    </row>
    <row r="18" spans="1:22" ht="20.100000000000001" customHeight="1" x14ac:dyDescent="0.25">
      <c r="A18" s="64">
        <v>13</v>
      </c>
      <c r="B18" s="64"/>
      <c r="C18" s="65"/>
      <c r="D18" s="65"/>
      <c r="E18" s="66"/>
      <c r="F18" s="66"/>
      <c r="G18" s="66"/>
      <c r="H18" s="66"/>
      <c r="I18" s="20"/>
      <c r="J18" s="20"/>
      <c r="K18" s="13"/>
      <c r="L18" s="20"/>
      <c r="M18" s="67"/>
      <c r="N18" s="67"/>
      <c r="O18" s="67"/>
      <c r="P18" s="67"/>
      <c r="Q18" s="58"/>
      <c r="R18" s="58"/>
      <c r="S18" s="14"/>
      <c r="T18" s="40"/>
      <c r="U18" s="26"/>
      <c r="V18" s="21"/>
    </row>
    <row r="19" spans="1:22" ht="20.100000000000001" customHeight="1" x14ac:dyDescent="0.25">
      <c r="A19" s="64">
        <v>14</v>
      </c>
      <c r="B19" s="64"/>
      <c r="C19" s="65"/>
      <c r="D19" s="65"/>
      <c r="E19" s="66"/>
      <c r="F19" s="66"/>
      <c r="G19" s="66"/>
      <c r="H19" s="66"/>
      <c r="I19" s="15"/>
      <c r="J19" s="15"/>
      <c r="K19" s="13"/>
      <c r="L19" s="15"/>
      <c r="M19" s="67"/>
      <c r="N19" s="67"/>
      <c r="O19" s="67"/>
      <c r="P19" s="67"/>
      <c r="Q19" s="59"/>
      <c r="R19" s="59"/>
      <c r="S19" s="14"/>
      <c r="T19" s="51"/>
      <c r="U19" s="50"/>
      <c r="V19" s="21"/>
    </row>
    <row r="20" spans="1:22" ht="20.100000000000001" customHeight="1" x14ac:dyDescent="0.25">
      <c r="A20" s="64">
        <v>15</v>
      </c>
      <c r="B20" s="64"/>
      <c r="C20" s="65"/>
      <c r="D20" s="65"/>
      <c r="E20" s="66"/>
      <c r="F20" s="66"/>
      <c r="G20" s="66"/>
      <c r="H20" s="66"/>
      <c r="I20" s="20"/>
      <c r="J20" s="20"/>
      <c r="K20" s="13"/>
      <c r="L20" s="20"/>
      <c r="M20" s="67"/>
      <c r="N20" s="67"/>
      <c r="O20" s="67"/>
      <c r="P20" s="67"/>
      <c r="Q20" s="58"/>
      <c r="R20" s="58"/>
      <c r="S20" s="14"/>
      <c r="T20" s="51"/>
      <c r="U20" s="53"/>
      <c r="V20" s="26"/>
    </row>
    <row r="21" spans="1:22" ht="12.75" customHeight="1" x14ac:dyDescent="0.25">
      <c r="A21" s="42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4" t="s">
        <v>28</v>
      </c>
      <c r="Q21" s="44">
        <f>SUM(Q6:Q20)</f>
        <v>0</v>
      </c>
      <c r="R21" s="44">
        <f>SUM(R6:R20)</f>
        <v>0</v>
      </c>
      <c r="S21" s="43"/>
      <c r="T21" s="54"/>
      <c r="U21" s="56"/>
      <c r="V21" s="50"/>
    </row>
    <row r="22" spans="1:22" ht="12.75" customHeight="1" x14ac:dyDescent="0.25">
      <c r="A22" s="45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9" t="s">
        <v>50</v>
      </c>
      <c r="Q22" s="49"/>
      <c r="R22" s="49">
        <f>SUM(R21*B3)+Q21</f>
        <v>0</v>
      </c>
      <c r="S22" s="47"/>
      <c r="T22" s="52"/>
      <c r="U22" s="57"/>
      <c r="V22" s="48"/>
    </row>
  </sheetData>
  <sheetProtection selectLockedCells="1" selectUnlockedCells="1"/>
  <mergeCells count="71"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  <mergeCell ref="A6:B6"/>
    <mergeCell ref="C6:D6"/>
    <mergeCell ref="E6:H6"/>
    <mergeCell ref="M6:P6"/>
    <mergeCell ref="A7:B7"/>
    <mergeCell ref="C7:D7"/>
    <mergeCell ref="E7:H7"/>
    <mergeCell ref="M7:P7"/>
    <mergeCell ref="A8:B8"/>
    <mergeCell ref="C8:D8"/>
    <mergeCell ref="E8:H8"/>
    <mergeCell ref="M8:P8"/>
    <mergeCell ref="A9:B9"/>
    <mergeCell ref="C9:D9"/>
    <mergeCell ref="E9:H9"/>
    <mergeCell ref="M9:P9"/>
    <mergeCell ref="A10:B10"/>
    <mergeCell ref="C10:D10"/>
    <mergeCell ref="E10:H10"/>
    <mergeCell ref="M10:P10"/>
    <mergeCell ref="M14:P14"/>
    <mergeCell ref="A11:B11"/>
    <mergeCell ref="C11:D11"/>
    <mergeCell ref="E11:H11"/>
    <mergeCell ref="M11:P11"/>
    <mergeCell ref="A12:B12"/>
    <mergeCell ref="C12:D12"/>
    <mergeCell ref="E12:H12"/>
    <mergeCell ref="M12:P12"/>
    <mergeCell ref="A13:B13"/>
    <mergeCell ref="C13:D13"/>
    <mergeCell ref="A14:B14"/>
    <mergeCell ref="A20:B20"/>
    <mergeCell ref="C20:D20"/>
    <mergeCell ref="E20:H20"/>
    <mergeCell ref="M20:P20"/>
    <mergeCell ref="A17:B17"/>
    <mergeCell ref="C17:D17"/>
    <mergeCell ref="E17:H17"/>
    <mergeCell ref="M17:P17"/>
    <mergeCell ref="A18:B18"/>
    <mergeCell ref="C18:D18"/>
    <mergeCell ref="E18:H18"/>
    <mergeCell ref="M18:P18"/>
    <mergeCell ref="M13:P13"/>
    <mergeCell ref="A19:B19"/>
    <mergeCell ref="C19:D19"/>
    <mergeCell ref="E19:H19"/>
    <mergeCell ref="M19:P19"/>
    <mergeCell ref="M15:P15"/>
    <mergeCell ref="A16:B16"/>
    <mergeCell ref="C16:D16"/>
    <mergeCell ref="E16:H16"/>
    <mergeCell ref="M16:P16"/>
    <mergeCell ref="C14:D14"/>
    <mergeCell ref="E14:H14"/>
    <mergeCell ref="A15:B15"/>
    <mergeCell ref="C15:D15"/>
    <mergeCell ref="E15:H15"/>
  </mergeCells>
  <pageMargins left="0.70000000000000007" right="0.70000000000000007" top="0.75" bottom="0.75" header="0.51181102362204722" footer="0.51181102362204722"/>
  <pageSetup paperSize="9" firstPageNumber="0" orientation="landscape" horizontalDpi="300" vertic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000-000001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000-000003000000}">
          <x14:formula1>
            <xm:f>Лист1!$I$3:$I$5</xm:f>
          </x14:formula1>
          <xm:sqref>V6</xm:sqref>
        </x14:dataValidation>
        <x14:dataValidation type="list" operator="equal" allowBlank="1" showErrorMessage="1" xr:uid="{00000000-0002-0000-0000-000004000000}">
          <x14:formula1>
            <xm:f>Лист1!$B$3:$B$28</xm:f>
          </x14:formula1>
          <xm:sqref>C6:D20</xm:sqref>
        </x14:dataValidation>
        <x14:dataValidation type="list" operator="equal" allowBlank="1" showErrorMessage="1" xr:uid="{00000000-0002-0000-0000-000000000000}">
          <x14:formula1>
            <xm:f>Лист1!$E$3:$E$71</xm:f>
          </x14:formula1>
          <x14:formula2>
            <xm:f>0</xm:f>
          </x14:formula2>
          <xm:sqref>S7:S20 T9</xm:sqref>
        </x14:dataValidation>
        <x14:dataValidation type="list" operator="equal" allowBlank="1" showErrorMessage="1" xr:uid="{00000000-0002-0000-0000-000002000000}">
          <x14:formula1>
            <xm:f>Лист1!$E$3:$E$71</xm:f>
          </x14:formula1>
          <xm:sqref>S6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V22"/>
  <sheetViews>
    <sheetView workbookViewId="0">
      <selection activeCell="V1" sqref="V1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8" t="s">
        <v>0</v>
      </c>
      <c r="B1" s="68"/>
      <c r="C1" s="71" t="s">
        <v>1</v>
      </c>
      <c r="D1" s="71"/>
      <c r="E1" s="71"/>
      <c r="F1" s="71"/>
      <c r="G1" s="21"/>
      <c r="H1" s="21"/>
      <c r="I1" s="21"/>
      <c r="J1" s="21"/>
      <c r="K1" s="21"/>
      <c r="L1" s="21"/>
      <c r="M1" s="33" t="s">
        <v>61</v>
      </c>
      <c r="N1" s="21"/>
      <c r="O1" s="68" t="s">
        <v>2</v>
      </c>
      <c r="P1" s="68"/>
      <c r="Q1" s="69" t="s">
        <v>108</v>
      </c>
      <c r="R1" s="69"/>
      <c r="S1" s="68" t="s">
        <v>3</v>
      </c>
      <c r="T1" s="70"/>
      <c r="U1" s="34" t="s">
        <v>62</v>
      </c>
      <c r="V1" s="73">
        <v>45098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72" t="s">
        <v>7</v>
      </c>
      <c r="E2" s="72"/>
      <c r="F2" s="72"/>
      <c r="G2" s="72" t="s">
        <v>8</v>
      </c>
      <c r="H2" s="72"/>
      <c r="I2" s="72"/>
      <c r="J2" s="72" t="s">
        <v>9</v>
      </c>
      <c r="K2" s="72"/>
      <c r="L2" s="72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5" t="s">
        <v>16</v>
      </c>
      <c r="T2" s="38" t="s">
        <v>49</v>
      </c>
      <c r="U2" s="7" t="s">
        <v>17</v>
      </c>
      <c r="V2" s="8"/>
    </row>
    <row r="3" spans="1:256" ht="17.100000000000001" customHeight="1" x14ac:dyDescent="0.25">
      <c r="A3" s="60" t="s">
        <v>64</v>
      </c>
      <c r="B3" s="31">
        <v>4</v>
      </c>
      <c r="C3" s="31" t="s">
        <v>65</v>
      </c>
      <c r="D3" s="32" t="str">
        <f>GETSIZE(C3,1)</f>
        <v>D</v>
      </c>
      <c r="E3" s="32">
        <f>GETSIZE(C3,2)</f>
        <v>3.1</v>
      </c>
      <c r="F3" s="32">
        <f>GETSIZE(C3,3)</f>
        <v>160</v>
      </c>
      <c r="G3" s="32">
        <f>Pripusk($D3:$F3,1)</f>
        <v>0</v>
      </c>
      <c r="H3" s="32">
        <f>Pripusk($D3:$F3,2)</f>
        <v>1</v>
      </c>
      <c r="I3" s="32">
        <f>Pripusk($D3:$F3,3)</f>
        <v>10</v>
      </c>
      <c r="J3" s="32" t="str">
        <f>IFERROR(D3+G3,D3)</f>
        <v>D</v>
      </c>
      <c r="K3" s="32">
        <f>IFERROR(E3+H3,E3)</f>
        <v>4.0999999999999996</v>
      </c>
      <c r="L3" s="32">
        <f>IFERROR(F3+I3,F3)</f>
        <v>170</v>
      </c>
      <c r="M3" s="31" t="s">
        <v>66</v>
      </c>
      <c r="N3" s="22">
        <v>7.8</v>
      </c>
      <c r="O3" s="22" t="s">
        <v>19</v>
      </c>
      <c r="P3" s="23">
        <f>CALCULATEMASS(J3:L3,O3,N3)</f>
        <v>1.7500000000000002E-2</v>
      </c>
      <c r="Q3" s="24">
        <f>P3*B3</f>
        <v>7.0000000000000007E-2</v>
      </c>
      <c r="R3" s="25" t="str">
        <f>IF(J3&lt;&gt;"D",J3&amp;"x"&amp;K3&amp;"x"&amp;L3,J3&amp;K3&amp;"x"&amp;L3)&amp;" "&amp;M3</f>
        <v>D4,1x170 У8А</v>
      </c>
      <c r="S3" s="36"/>
      <c r="T3" s="37"/>
      <c r="U3" s="26"/>
      <c r="V3" s="27"/>
    </row>
    <row r="4" spans="1:256" ht="12.75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</row>
    <row r="5" spans="1:256" ht="30.75" customHeight="1" x14ac:dyDescent="0.25">
      <c r="A5" s="71" t="s">
        <v>20</v>
      </c>
      <c r="B5" s="71"/>
      <c r="C5" s="71" t="s">
        <v>21</v>
      </c>
      <c r="D5" s="71"/>
      <c r="E5" s="68" t="s">
        <v>22</v>
      </c>
      <c r="F5" s="68"/>
      <c r="G5" s="68"/>
      <c r="H5" s="68"/>
      <c r="I5" s="10" t="s">
        <v>23</v>
      </c>
      <c r="J5" s="11" t="s">
        <v>24</v>
      </c>
      <c r="K5" s="12" t="s">
        <v>25</v>
      </c>
      <c r="L5" s="18" t="s">
        <v>26</v>
      </c>
      <c r="M5" s="68" t="s">
        <v>22</v>
      </c>
      <c r="N5" s="68"/>
      <c r="O5" s="68"/>
      <c r="P5" s="68"/>
      <c r="Q5" s="55" t="s">
        <v>23</v>
      </c>
      <c r="R5" s="19" t="s">
        <v>24</v>
      </c>
      <c r="S5" s="12" t="s">
        <v>25</v>
      </c>
      <c r="T5" s="39" t="s">
        <v>26</v>
      </c>
      <c r="U5" s="29" t="s">
        <v>27</v>
      </c>
      <c r="V5" s="21" t="s">
        <v>18</v>
      </c>
    </row>
    <row r="6" spans="1:256" ht="20.100000000000001" customHeight="1" x14ac:dyDescent="0.25">
      <c r="A6" s="64">
        <v>1</v>
      </c>
      <c r="B6" s="64"/>
      <c r="C6" s="65" t="s">
        <v>44</v>
      </c>
      <c r="D6" s="65"/>
      <c r="E6" s="66"/>
      <c r="F6" s="66"/>
      <c r="G6" s="66"/>
      <c r="H6" s="66"/>
      <c r="I6" s="20"/>
      <c r="J6" s="20"/>
      <c r="K6" s="13"/>
      <c r="L6" s="20"/>
      <c r="M6" s="67"/>
      <c r="N6" s="67"/>
      <c r="O6" s="67"/>
      <c r="P6" s="67"/>
      <c r="Q6" s="58">
        <v>0.3</v>
      </c>
      <c r="R6" s="58">
        <v>0.6</v>
      </c>
      <c r="S6" s="14"/>
      <c r="T6" s="40"/>
      <c r="U6" s="26"/>
      <c r="V6" s="21"/>
    </row>
    <row r="7" spans="1:256" ht="20.100000000000001" customHeight="1" x14ac:dyDescent="0.25">
      <c r="A7" s="64">
        <v>2</v>
      </c>
      <c r="B7" s="64"/>
      <c r="C7" s="65" t="s">
        <v>41</v>
      </c>
      <c r="D7" s="65"/>
      <c r="E7" s="66"/>
      <c r="F7" s="66"/>
      <c r="G7" s="66"/>
      <c r="H7" s="66"/>
      <c r="I7" s="15"/>
      <c r="J7" s="15"/>
      <c r="K7" s="13"/>
      <c r="L7" s="15"/>
      <c r="M7" s="67"/>
      <c r="N7" s="67"/>
      <c r="O7" s="67"/>
      <c r="P7" s="67"/>
      <c r="Q7" s="59">
        <v>0.2</v>
      </c>
      <c r="R7" s="59">
        <v>0.3</v>
      </c>
      <c r="S7" s="14" t="s">
        <v>70</v>
      </c>
      <c r="T7" s="40"/>
      <c r="U7" s="26"/>
      <c r="V7" s="21" t="s">
        <v>34</v>
      </c>
    </row>
    <row r="8" spans="1:256" ht="20.100000000000001" customHeight="1" x14ac:dyDescent="0.25">
      <c r="A8" s="64">
        <v>3</v>
      </c>
      <c r="B8" s="64"/>
      <c r="C8" s="65" t="s">
        <v>43</v>
      </c>
      <c r="D8" s="65"/>
      <c r="E8" s="66"/>
      <c r="F8" s="66"/>
      <c r="G8" s="66"/>
      <c r="H8" s="66"/>
      <c r="I8" s="20"/>
      <c r="J8" s="20"/>
      <c r="K8" s="13"/>
      <c r="L8" s="20"/>
      <c r="M8" s="67" t="s">
        <v>67</v>
      </c>
      <c r="N8" s="67"/>
      <c r="O8" s="67"/>
      <c r="P8" s="67"/>
      <c r="Q8" s="58">
        <v>1</v>
      </c>
      <c r="R8" s="58">
        <v>0.01</v>
      </c>
      <c r="S8" s="14"/>
      <c r="T8" s="40"/>
      <c r="U8" s="26"/>
      <c r="V8" s="21"/>
    </row>
    <row r="9" spans="1:256" ht="20.100000000000001" customHeight="1" x14ac:dyDescent="0.25">
      <c r="A9" s="64">
        <v>4</v>
      </c>
      <c r="B9" s="64"/>
      <c r="C9" s="65" t="s">
        <v>52</v>
      </c>
      <c r="D9" s="65"/>
      <c r="E9" s="66"/>
      <c r="F9" s="66"/>
      <c r="G9" s="66"/>
      <c r="H9" s="66"/>
      <c r="I9" s="15"/>
      <c r="J9" s="15"/>
      <c r="K9" s="13"/>
      <c r="L9" s="15"/>
      <c r="M9" s="67"/>
      <c r="N9" s="67"/>
      <c r="O9" s="67"/>
      <c r="P9" s="67"/>
      <c r="Q9" s="59">
        <v>0.05</v>
      </c>
      <c r="R9" s="59">
        <v>0.1</v>
      </c>
      <c r="S9" s="14"/>
      <c r="T9" s="41"/>
      <c r="U9" s="26"/>
      <c r="V9" s="21"/>
    </row>
    <row r="10" spans="1:256" ht="20.100000000000001" customHeight="1" x14ac:dyDescent="0.25">
      <c r="A10" s="64">
        <v>5</v>
      </c>
      <c r="B10" s="64"/>
      <c r="C10" s="65"/>
      <c r="D10" s="65"/>
      <c r="E10" s="66"/>
      <c r="F10" s="66"/>
      <c r="G10" s="66"/>
      <c r="H10" s="66"/>
      <c r="I10" s="20"/>
      <c r="J10" s="20"/>
      <c r="K10" s="13"/>
      <c r="L10" s="20"/>
      <c r="M10" s="67"/>
      <c r="N10" s="67"/>
      <c r="O10" s="67"/>
      <c r="P10" s="67"/>
      <c r="Q10" s="58"/>
      <c r="R10" s="58"/>
      <c r="S10" s="14"/>
      <c r="T10" s="40"/>
      <c r="U10" s="26"/>
      <c r="V10" s="21"/>
    </row>
    <row r="11" spans="1:256" ht="20.100000000000001" customHeight="1" x14ac:dyDescent="0.25">
      <c r="A11" s="64">
        <v>6</v>
      </c>
      <c r="B11" s="64"/>
      <c r="C11" s="65"/>
      <c r="D11" s="65"/>
      <c r="E11" s="66"/>
      <c r="F11" s="66"/>
      <c r="G11" s="66"/>
      <c r="H11" s="66"/>
      <c r="I11" s="15"/>
      <c r="J11" s="15"/>
      <c r="K11" s="13"/>
      <c r="L11" s="15"/>
      <c r="M11" s="67"/>
      <c r="N11" s="67"/>
      <c r="O11" s="67"/>
      <c r="P11" s="67"/>
      <c r="Q11" s="59"/>
      <c r="R11" s="59"/>
      <c r="S11" s="14"/>
      <c r="T11" s="40"/>
      <c r="U11" s="26"/>
      <c r="V11" s="21"/>
    </row>
    <row r="12" spans="1:256" ht="20.100000000000001" customHeight="1" x14ac:dyDescent="0.25">
      <c r="A12" s="64">
        <v>7</v>
      </c>
      <c r="B12" s="64"/>
      <c r="C12" s="65"/>
      <c r="D12" s="65"/>
      <c r="E12" s="66"/>
      <c r="F12" s="66"/>
      <c r="G12" s="66"/>
      <c r="H12" s="66"/>
      <c r="I12" s="20"/>
      <c r="J12" s="20"/>
      <c r="K12" s="13"/>
      <c r="L12" s="20"/>
      <c r="M12" s="67"/>
      <c r="N12" s="67"/>
      <c r="O12" s="67"/>
      <c r="P12" s="67"/>
      <c r="Q12" s="58"/>
      <c r="R12" s="58"/>
      <c r="S12" s="14"/>
      <c r="T12" s="40"/>
      <c r="U12" s="26"/>
      <c r="V12" s="21"/>
    </row>
    <row r="13" spans="1:256" ht="20.100000000000001" customHeight="1" x14ac:dyDescent="0.25">
      <c r="A13" s="64">
        <v>8</v>
      </c>
      <c r="B13" s="64"/>
      <c r="C13" s="65"/>
      <c r="D13" s="65"/>
      <c r="E13" s="13"/>
      <c r="F13" s="16"/>
      <c r="G13" s="16"/>
      <c r="H13" s="17"/>
      <c r="I13" s="20"/>
      <c r="J13" s="20"/>
      <c r="K13" s="13"/>
      <c r="L13" s="20"/>
      <c r="M13" s="61"/>
      <c r="N13" s="62"/>
      <c r="O13" s="62"/>
      <c r="P13" s="63"/>
      <c r="Q13" s="58"/>
      <c r="R13" s="58"/>
      <c r="S13" s="14"/>
      <c r="T13" s="40"/>
      <c r="U13" s="26"/>
      <c r="V13" s="21"/>
    </row>
    <row r="14" spans="1:256" ht="20.100000000000001" customHeight="1" x14ac:dyDescent="0.25">
      <c r="A14" s="64">
        <v>9</v>
      </c>
      <c r="B14" s="64"/>
      <c r="C14" s="65"/>
      <c r="D14" s="65"/>
      <c r="E14" s="66"/>
      <c r="F14" s="66"/>
      <c r="G14" s="66"/>
      <c r="H14" s="66"/>
      <c r="I14" s="20"/>
      <c r="J14" s="20"/>
      <c r="K14" s="13"/>
      <c r="L14" s="20"/>
      <c r="M14" s="67"/>
      <c r="N14" s="67"/>
      <c r="O14" s="67"/>
      <c r="P14" s="67"/>
      <c r="Q14" s="58"/>
      <c r="R14" s="58"/>
      <c r="S14" s="14"/>
      <c r="T14" s="40"/>
      <c r="U14" s="26"/>
      <c r="V14" s="21"/>
    </row>
    <row r="15" spans="1:256" ht="20.100000000000001" customHeight="1" x14ac:dyDescent="0.25">
      <c r="A15" s="64">
        <v>10</v>
      </c>
      <c r="B15" s="64"/>
      <c r="C15" s="65"/>
      <c r="D15" s="65"/>
      <c r="E15" s="66"/>
      <c r="F15" s="66"/>
      <c r="G15" s="66"/>
      <c r="H15" s="66"/>
      <c r="I15" s="15"/>
      <c r="J15" s="15"/>
      <c r="K15" s="13"/>
      <c r="L15" s="15"/>
      <c r="M15" s="67"/>
      <c r="N15" s="67"/>
      <c r="O15" s="67"/>
      <c r="P15" s="67"/>
      <c r="Q15" s="59"/>
      <c r="R15" s="59"/>
      <c r="S15" s="14"/>
      <c r="T15" s="40"/>
      <c r="U15" s="26"/>
      <c r="V15" s="21"/>
    </row>
    <row r="16" spans="1:256" ht="20.100000000000001" customHeight="1" x14ac:dyDescent="0.25">
      <c r="A16" s="64">
        <v>11</v>
      </c>
      <c r="B16" s="64"/>
      <c r="C16" s="65"/>
      <c r="D16" s="65"/>
      <c r="E16" s="66"/>
      <c r="F16" s="66"/>
      <c r="G16" s="66"/>
      <c r="H16" s="66"/>
      <c r="I16" s="20"/>
      <c r="J16" s="20"/>
      <c r="K16" s="13"/>
      <c r="L16" s="20"/>
      <c r="M16" s="67"/>
      <c r="N16" s="67"/>
      <c r="O16" s="67"/>
      <c r="P16" s="67"/>
      <c r="Q16" s="58"/>
      <c r="R16" s="58"/>
      <c r="S16" s="14"/>
      <c r="T16" s="40"/>
      <c r="U16" s="26"/>
      <c r="V16" s="21"/>
    </row>
    <row r="17" spans="1:22" ht="20.100000000000001" customHeight="1" x14ac:dyDescent="0.25">
      <c r="A17" s="64">
        <v>12</v>
      </c>
      <c r="B17" s="64"/>
      <c r="C17" s="65"/>
      <c r="D17" s="65"/>
      <c r="E17" s="66"/>
      <c r="F17" s="66"/>
      <c r="G17" s="66"/>
      <c r="H17" s="66"/>
      <c r="I17" s="15"/>
      <c r="J17" s="15"/>
      <c r="K17" s="13"/>
      <c r="L17" s="15"/>
      <c r="M17" s="67"/>
      <c r="N17" s="67"/>
      <c r="O17" s="67"/>
      <c r="P17" s="67"/>
      <c r="Q17" s="59"/>
      <c r="R17" s="59"/>
      <c r="S17" s="14"/>
      <c r="T17" s="40"/>
      <c r="U17" s="26"/>
      <c r="V17" s="21"/>
    </row>
    <row r="18" spans="1:22" ht="20.100000000000001" customHeight="1" x14ac:dyDescent="0.25">
      <c r="A18" s="64">
        <v>13</v>
      </c>
      <c r="B18" s="64"/>
      <c r="C18" s="65"/>
      <c r="D18" s="65"/>
      <c r="E18" s="66"/>
      <c r="F18" s="66"/>
      <c r="G18" s="66"/>
      <c r="H18" s="66"/>
      <c r="I18" s="20"/>
      <c r="J18" s="20"/>
      <c r="K18" s="13"/>
      <c r="L18" s="20"/>
      <c r="M18" s="67"/>
      <c r="N18" s="67"/>
      <c r="O18" s="67"/>
      <c r="P18" s="67"/>
      <c r="Q18" s="58"/>
      <c r="R18" s="58"/>
      <c r="S18" s="14"/>
      <c r="T18" s="40"/>
      <c r="U18" s="26"/>
      <c r="V18" s="21"/>
    </row>
    <row r="19" spans="1:22" ht="20.100000000000001" customHeight="1" x14ac:dyDescent="0.25">
      <c r="A19" s="64">
        <v>14</v>
      </c>
      <c r="B19" s="64"/>
      <c r="C19" s="65"/>
      <c r="D19" s="65"/>
      <c r="E19" s="66"/>
      <c r="F19" s="66"/>
      <c r="G19" s="66"/>
      <c r="H19" s="66"/>
      <c r="I19" s="15"/>
      <c r="J19" s="15"/>
      <c r="K19" s="13"/>
      <c r="L19" s="15"/>
      <c r="M19" s="67"/>
      <c r="N19" s="67"/>
      <c r="O19" s="67"/>
      <c r="P19" s="67"/>
      <c r="Q19" s="59"/>
      <c r="R19" s="59"/>
      <c r="S19" s="14"/>
      <c r="T19" s="51"/>
      <c r="U19" s="50"/>
      <c r="V19" s="21"/>
    </row>
    <row r="20" spans="1:22" ht="20.100000000000001" customHeight="1" x14ac:dyDescent="0.25">
      <c r="A20" s="64">
        <v>15</v>
      </c>
      <c r="B20" s="64"/>
      <c r="C20" s="65"/>
      <c r="D20" s="65"/>
      <c r="E20" s="66"/>
      <c r="F20" s="66"/>
      <c r="G20" s="66"/>
      <c r="H20" s="66"/>
      <c r="I20" s="20"/>
      <c r="J20" s="20"/>
      <c r="K20" s="13"/>
      <c r="L20" s="20"/>
      <c r="M20" s="67"/>
      <c r="N20" s="67"/>
      <c r="O20" s="67"/>
      <c r="P20" s="67"/>
      <c r="Q20" s="58"/>
      <c r="R20" s="58"/>
      <c r="S20" s="14"/>
      <c r="T20" s="51"/>
      <c r="U20" s="53"/>
      <c r="V20" s="26"/>
    </row>
    <row r="21" spans="1:22" ht="12.75" customHeight="1" x14ac:dyDescent="0.25">
      <c r="A21" s="42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4" t="s">
        <v>28</v>
      </c>
      <c r="Q21" s="44">
        <f>SUM(Q6:Q20)</f>
        <v>1.55</v>
      </c>
      <c r="R21" s="44">
        <f>SUM(R6:R20)</f>
        <v>1.01</v>
      </c>
      <c r="S21" s="43"/>
      <c r="T21" s="54"/>
      <c r="U21" s="56"/>
      <c r="V21" s="50"/>
    </row>
    <row r="22" spans="1:22" ht="12.75" customHeight="1" x14ac:dyDescent="0.25">
      <c r="A22" s="45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9" t="s">
        <v>50</v>
      </c>
      <c r="Q22" s="49"/>
      <c r="R22" s="49">
        <f>SUM(R21*B3)+Q21</f>
        <v>5.59</v>
      </c>
      <c r="S22" s="47"/>
      <c r="T22" s="52"/>
      <c r="U22" s="57"/>
      <c r="V22" s="48"/>
    </row>
  </sheetData>
  <mergeCells count="71"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  <mergeCell ref="A6:B6"/>
    <mergeCell ref="C6:D6"/>
    <mergeCell ref="E6:H6"/>
    <mergeCell ref="M6:P6"/>
    <mergeCell ref="A7:B7"/>
    <mergeCell ref="C7:D7"/>
    <mergeCell ref="E7:H7"/>
    <mergeCell ref="M7:P7"/>
    <mergeCell ref="A8:B8"/>
    <mergeCell ref="C8:D8"/>
    <mergeCell ref="E8:H8"/>
    <mergeCell ref="M8:P8"/>
    <mergeCell ref="A9:B9"/>
    <mergeCell ref="C9:D9"/>
    <mergeCell ref="E9:H9"/>
    <mergeCell ref="M9:P9"/>
    <mergeCell ref="A10:B10"/>
    <mergeCell ref="C10:D10"/>
    <mergeCell ref="E10:H10"/>
    <mergeCell ref="M10:P10"/>
    <mergeCell ref="A11:B11"/>
    <mergeCell ref="C11:D11"/>
    <mergeCell ref="E11:H11"/>
    <mergeCell ref="M11:P11"/>
    <mergeCell ref="A12:B12"/>
    <mergeCell ref="C12:D12"/>
    <mergeCell ref="E12:H12"/>
    <mergeCell ref="M12:P12"/>
    <mergeCell ref="A13:B13"/>
    <mergeCell ref="C13:D13"/>
    <mergeCell ref="M13:P13"/>
    <mergeCell ref="A14:B14"/>
    <mergeCell ref="C14:D14"/>
    <mergeCell ref="E14:H14"/>
    <mergeCell ref="M14:P14"/>
    <mergeCell ref="A15:B15"/>
    <mergeCell ref="C15:D15"/>
    <mergeCell ref="E15:H15"/>
    <mergeCell ref="M15:P15"/>
    <mergeCell ref="A16:B16"/>
    <mergeCell ref="C16:D16"/>
    <mergeCell ref="E16:H16"/>
    <mergeCell ref="M16:P16"/>
    <mergeCell ref="A17:B17"/>
    <mergeCell ref="C17:D17"/>
    <mergeCell ref="E17:H17"/>
    <mergeCell ref="M17:P17"/>
    <mergeCell ref="A20:B20"/>
    <mergeCell ref="C20:D20"/>
    <mergeCell ref="E20:H20"/>
    <mergeCell ref="M20:P20"/>
    <mergeCell ref="A18:B18"/>
    <mergeCell ref="C18:D18"/>
    <mergeCell ref="E18:H18"/>
    <mergeCell ref="M18:P18"/>
    <mergeCell ref="A19:B19"/>
    <mergeCell ref="C19:D19"/>
    <mergeCell ref="E19:H19"/>
    <mergeCell ref="M19:P19"/>
  </mergeCell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100-000000000000}">
          <x14:formula1>
            <xm:f>Лист1!$B$3:$B$28</xm:f>
          </x14:formula1>
          <xm:sqref>C6:D20</xm:sqref>
        </x14:dataValidation>
        <x14:dataValidation type="list" operator="equal" allowBlank="1" showErrorMessage="1" xr:uid="{00000000-0002-0000-0100-000001000000}">
          <x14:formula1>
            <xm:f>Лист1!$I$3:$I$5</xm:f>
          </x14:formula1>
          <xm:sqref>V6</xm:sqref>
        </x14:dataValidation>
        <x14:dataValidation type="list" operator="equal" allowBlank="1" showErrorMessage="1" xr:uid="{00000000-0002-0000-0100-000003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100-000002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100-000004000000}">
          <x14:formula1>
            <xm:f>Лист1!$E$3:$E$71</xm:f>
          </x14:formula1>
          <x14:formula2>
            <xm:f>0</xm:f>
          </x14:formula2>
          <xm:sqref>S7:S20 T9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V22"/>
  <sheetViews>
    <sheetView workbookViewId="0">
      <selection activeCell="V1" sqref="V1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8" t="s">
        <v>0</v>
      </c>
      <c r="B1" s="68"/>
      <c r="C1" s="71" t="s">
        <v>1</v>
      </c>
      <c r="D1" s="71"/>
      <c r="E1" s="71"/>
      <c r="F1" s="71"/>
      <c r="G1" s="21"/>
      <c r="H1" s="21"/>
      <c r="I1" s="21"/>
      <c r="J1" s="21"/>
      <c r="K1" s="21"/>
      <c r="L1" s="21"/>
      <c r="M1" s="33" t="s">
        <v>61</v>
      </c>
      <c r="N1" s="21"/>
      <c r="O1" s="68" t="s">
        <v>2</v>
      </c>
      <c r="P1" s="68"/>
      <c r="Q1" s="69" t="s">
        <v>109</v>
      </c>
      <c r="R1" s="69"/>
      <c r="S1" s="68" t="s">
        <v>3</v>
      </c>
      <c r="T1" s="70"/>
      <c r="U1" s="34" t="s">
        <v>62</v>
      </c>
      <c r="V1" s="73">
        <v>45098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72" t="s">
        <v>7</v>
      </c>
      <c r="E2" s="72"/>
      <c r="F2" s="72"/>
      <c r="G2" s="72" t="s">
        <v>8</v>
      </c>
      <c r="H2" s="72"/>
      <c r="I2" s="72"/>
      <c r="J2" s="72" t="s">
        <v>9</v>
      </c>
      <c r="K2" s="72"/>
      <c r="L2" s="72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5" t="s">
        <v>16</v>
      </c>
      <c r="T2" s="38" t="s">
        <v>49</v>
      </c>
      <c r="U2" s="7" t="s">
        <v>17</v>
      </c>
      <c r="V2" s="8"/>
    </row>
    <row r="3" spans="1:256" ht="17.100000000000001" customHeight="1" x14ac:dyDescent="0.25">
      <c r="A3" s="30" t="s">
        <v>68</v>
      </c>
      <c r="B3" s="31">
        <v>4</v>
      </c>
      <c r="C3" s="31" t="s">
        <v>60</v>
      </c>
      <c r="D3" s="32">
        <f>GETSIZE(C3,1)</f>
        <v>0</v>
      </c>
      <c r="E3" s="32">
        <f>GETSIZE(C3,2)</f>
        <v>0</v>
      </c>
      <c r="F3" s="32">
        <f>GETSIZE(C3,3)</f>
        <v>0</v>
      </c>
      <c r="G3" s="32">
        <f>Pripusk($D3:$F3,1)</f>
        <v>0</v>
      </c>
      <c r="H3" s="32">
        <f>Pripusk($D3:$F3,2)</f>
        <v>0</v>
      </c>
      <c r="I3" s="32">
        <f>Pripusk($D3:$F3,3)</f>
        <v>0</v>
      </c>
      <c r="J3" s="32">
        <f>IFERROR(D3+G3,D3)</f>
        <v>0</v>
      </c>
      <c r="K3" s="32">
        <f>IFERROR(E3+H3,E3)</f>
        <v>0</v>
      </c>
      <c r="L3" s="32">
        <f>IFERROR(F3+I3,F3)</f>
        <v>0</v>
      </c>
      <c r="M3" s="31"/>
      <c r="N3" s="22">
        <v>7.8</v>
      </c>
      <c r="O3" s="22" t="s">
        <v>19</v>
      </c>
      <c r="P3" s="23">
        <f>CALCULATEMASS(J3:L3,O3,N3)</f>
        <v>0</v>
      </c>
      <c r="Q3" s="24">
        <f>P3*B3</f>
        <v>0</v>
      </c>
      <c r="R3" s="25" t="str">
        <f>IF(J3&lt;&gt;"D",J3&amp;"x"&amp;K3&amp;"x"&amp;L3,J3&amp;K3&amp;"x"&amp;L3)&amp;" "&amp;M3</f>
        <v xml:space="preserve">0x0x0 </v>
      </c>
      <c r="S3" s="36"/>
      <c r="T3" s="37"/>
      <c r="U3" s="26"/>
      <c r="V3" s="27"/>
    </row>
    <row r="4" spans="1:256" ht="12.75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</row>
    <row r="5" spans="1:256" ht="30.75" customHeight="1" x14ac:dyDescent="0.25">
      <c r="A5" s="71" t="s">
        <v>20</v>
      </c>
      <c r="B5" s="71"/>
      <c r="C5" s="71" t="s">
        <v>21</v>
      </c>
      <c r="D5" s="71"/>
      <c r="E5" s="68" t="s">
        <v>22</v>
      </c>
      <c r="F5" s="68"/>
      <c r="G5" s="68"/>
      <c r="H5" s="68"/>
      <c r="I5" s="10" t="s">
        <v>23</v>
      </c>
      <c r="J5" s="11" t="s">
        <v>24</v>
      </c>
      <c r="K5" s="12" t="s">
        <v>25</v>
      </c>
      <c r="L5" s="18" t="s">
        <v>26</v>
      </c>
      <c r="M5" s="68" t="s">
        <v>22</v>
      </c>
      <c r="N5" s="68"/>
      <c r="O5" s="68"/>
      <c r="P5" s="68"/>
      <c r="Q5" s="55" t="s">
        <v>23</v>
      </c>
      <c r="R5" s="19" t="s">
        <v>24</v>
      </c>
      <c r="S5" s="12" t="s">
        <v>25</v>
      </c>
      <c r="T5" s="39" t="s">
        <v>26</v>
      </c>
      <c r="U5" s="29" t="s">
        <v>27</v>
      </c>
      <c r="V5" s="21" t="s">
        <v>18</v>
      </c>
    </row>
    <row r="6" spans="1:256" ht="20.100000000000001" customHeight="1" x14ac:dyDescent="0.25">
      <c r="A6" s="64">
        <v>1</v>
      </c>
      <c r="B6" s="64"/>
      <c r="C6" s="65" t="s">
        <v>44</v>
      </c>
      <c r="D6" s="65"/>
      <c r="E6" s="66"/>
      <c r="F6" s="66"/>
      <c r="G6" s="66"/>
      <c r="H6" s="66"/>
      <c r="I6" s="20"/>
      <c r="J6" s="20"/>
      <c r="K6" s="13"/>
      <c r="L6" s="20"/>
      <c r="M6" s="67"/>
      <c r="N6" s="67"/>
      <c r="O6" s="67"/>
      <c r="P6" s="67"/>
      <c r="Q6" s="58">
        <v>0.5</v>
      </c>
      <c r="R6" s="58">
        <v>0.8</v>
      </c>
      <c r="S6" s="14" t="s">
        <v>80</v>
      </c>
      <c r="T6" s="40"/>
      <c r="U6" s="26"/>
      <c r="V6" s="21" t="s">
        <v>34</v>
      </c>
    </row>
    <row r="7" spans="1:256" ht="20.100000000000001" customHeight="1" x14ac:dyDescent="0.25">
      <c r="A7" s="64">
        <v>2</v>
      </c>
      <c r="B7" s="64"/>
      <c r="C7" s="65" t="s">
        <v>41</v>
      </c>
      <c r="D7" s="65"/>
      <c r="E7" s="66"/>
      <c r="F7" s="66"/>
      <c r="G7" s="66"/>
      <c r="H7" s="66"/>
      <c r="I7" s="15"/>
      <c r="J7" s="15"/>
      <c r="K7" s="13"/>
      <c r="L7" s="15"/>
      <c r="M7" s="67"/>
      <c r="N7" s="67"/>
      <c r="O7" s="67"/>
      <c r="P7" s="67"/>
      <c r="Q7" s="59">
        <v>0.1</v>
      </c>
      <c r="R7" s="59">
        <v>0.2</v>
      </c>
      <c r="S7" s="14" t="s">
        <v>69</v>
      </c>
      <c r="T7" s="40"/>
      <c r="U7" s="26"/>
      <c r="V7" s="21"/>
    </row>
    <row r="8" spans="1:256" ht="20.100000000000001" customHeight="1" x14ac:dyDescent="0.25">
      <c r="A8" s="64">
        <v>3</v>
      </c>
      <c r="B8" s="64"/>
      <c r="C8" s="65"/>
      <c r="D8" s="65"/>
      <c r="E8" s="66"/>
      <c r="F8" s="66"/>
      <c r="G8" s="66"/>
      <c r="H8" s="66"/>
      <c r="I8" s="20"/>
      <c r="J8" s="20"/>
      <c r="K8" s="13"/>
      <c r="L8" s="20"/>
      <c r="M8" s="67"/>
      <c r="N8" s="67"/>
      <c r="O8" s="67"/>
      <c r="P8" s="67"/>
      <c r="Q8" s="58"/>
      <c r="R8" s="58"/>
      <c r="S8" s="14"/>
      <c r="T8" s="40"/>
      <c r="U8" s="26"/>
      <c r="V8" s="21"/>
    </row>
    <row r="9" spans="1:256" ht="20.100000000000001" customHeight="1" x14ac:dyDescent="0.25">
      <c r="A9" s="64">
        <v>4</v>
      </c>
      <c r="B9" s="64"/>
      <c r="C9" s="65"/>
      <c r="D9" s="65"/>
      <c r="E9" s="66"/>
      <c r="F9" s="66"/>
      <c r="G9" s="66"/>
      <c r="H9" s="66"/>
      <c r="I9" s="15"/>
      <c r="J9" s="15"/>
      <c r="K9" s="13"/>
      <c r="L9" s="15"/>
      <c r="M9" s="67"/>
      <c r="N9" s="67"/>
      <c r="O9" s="67"/>
      <c r="P9" s="67"/>
      <c r="Q9" s="59"/>
      <c r="R9" s="59"/>
      <c r="S9" s="14"/>
      <c r="T9" s="41"/>
      <c r="U9" s="26"/>
      <c r="V9" s="21"/>
    </row>
    <row r="10" spans="1:256" ht="20.100000000000001" customHeight="1" x14ac:dyDescent="0.25">
      <c r="A10" s="64">
        <v>5</v>
      </c>
      <c r="B10" s="64"/>
      <c r="C10" s="65"/>
      <c r="D10" s="65"/>
      <c r="E10" s="66"/>
      <c r="F10" s="66"/>
      <c r="G10" s="66"/>
      <c r="H10" s="66"/>
      <c r="I10" s="20"/>
      <c r="J10" s="20"/>
      <c r="K10" s="13"/>
      <c r="L10" s="20"/>
      <c r="M10" s="67"/>
      <c r="N10" s="67"/>
      <c r="O10" s="67"/>
      <c r="P10" s="67"/>
      <c r="Q10" s="58"/>
      <c r="R10" s="58"/>
      <c r="S10" s="14"/>
      <c r="T10" s="40"/>
      <c r="U10" s="26"/>
      <c r="V10" s="21"/>
    </row>
    <row r="11" spans="1:256" ht="20.100000000000001" customHeight="1" x14ac:dyDescent="0.25">
      <c r="A11" s="64">
        <v>6</v>
      </c>
      <c r="B11" s="64"/>
      <c r="C11" s="65"/>
      <c r="D11" s="65"/>
      <c r="E11" s="66"/>
      <c r="F11" s="66"/>
      <c r="G11" s="66"/>
      <c r="H11" s="66"/>
      <c r="I11" s="15"/>
      <c r="J11" s="15"/>
      <c r="K11" s="13"/>
      <c r="L11" s="15"/>
      <c r="M11" s="67"/>
      <c r="N11" s="67"/>
      <c r="O11" s="67"/>
      <c r="P11" s="67"/>
      <c r="Q11" s="59"/>
      <c r="R11" s="59"/>
      <c r="S11" s="14"/>
      <c r="T11" s="40"/>
      <c r="U11" s="26"/>
      <c r="V11" s="21"/>
    </row>
    <row r="12" spans="1:256" ht="20.100000000000001" customHeight="1" x14ac:dyDescent="0.25">
      <c r="A12" s="64">
        <v>7</v>
      </c>
      <c r="B12" s="64"/>
      <c r="C12" s="65"/>
      <c r="D12" s="65"/>
      <c r="E12" s="66"/>
      <c r="F12" s="66"/>
      <c r="G12" s="66"/>
      <c r="H12" s="66"/>
      <c r="I12" s="20"/>
      <c r="J12" s="20"/>
      <c r="K12" s="13"/>
      <c r="L12" s="20"/>
      <c r="M12" s="67"/>
      <c r="N12" s="67"/>
      <c r="O12" s="67"/>
      <c r="P12" s="67"/>
      <c r="Q12" s="58"/>
      <c r="R12" s="58"/>
      <c r="S12" s="14"/>
      <c r="T12" s="40"/>
      <c r="U12" s="26"/>
      <c r="V12" s="21"/>
    </row>
    <row r="13" spans="1:256" ht="20.100000000000001" customHeight="1" x14ac:dyDescent="0.25">
      <c r="A13" s="64">
        <v>8</v>
      </c>
      <c r="B13" s="64"/>
      <c r="C13" s="65"/>
      <c r="D13" s="65"/>
      <c r="E13" s="13"/>
      <c r="F13" s="16"/>
      <c r="G13" s="16"/>
      <c r="H13" s="17"/>
      <c r="I13" s="20"/>
      <c r="J13" s="20"/>
      <c r="K13" s="13"/>
      <c r="L13" s="20"/>
      <c r="M13" s="61"/>
      <c r="N13" s="62"/>
      <c r="O13" s="62"/>
      <c r="P13" s="63"/>
      <c r="Q13" s="58"/>
      <c r="R13" s="58"/>
      <c r="S13" s="14"/>
      <c r="T13" s="40"/>
      <c r="U13" s="26"/>
      <c r="V13" s="21"/>
    </row>
    <row r="14" spans="1:256" ht="20.100000000000001" customHeight="1" x14ac:dyDescent="0.25">
      <c r="A14" s="64">
        <v>9</v>
      </c>
      <c r="B14" s="64"/>
      <c r="C14" s="65"/>
      <c r="D14" s="65"/>
      <c r="E14" s="66"/>
      <c r="F14" s="66"/>
      <c r="G14" s="66"/>
      <c r="H14" s="66"/>
      <c r="I14" s="20"/>
      <c r="J14" s="20"/>
      <c r="K14" s="13"/>
      <c r="L14" s="20"/>
      <c r="M14" s="67"/>
      <c r="N14" s="67"/>
      <c r="O14" s="67"/>
      <c r="P14" s="67"/>
      <c r="Q14" s="58"/>
      <c r="R14" s="58"/>
      <c r="S14" s="14"/>
      <c r="T14" s="40"/>
      <c r="U14" s="26"/>
      <c r="V14" s="21"/>
    </row>
    <row r="15" spans="1:256" ht="20.100000000000001" customHeight="1" x14ac:dyDescent="0.25">
      <c r="A15" s="64">
        <v>10</v>
      </c>
      <c r="B15" s="64"/>
      <c r="C15" s="65"/>
      <c r="D15" s="65"/>
      <c r="E15" s="66"/>
      <c r="F15" s="66"/>
      <c r="G15" s="66"/>
      <c r="H15" s="66"/>
      <c r="I15" s="15"/>
      <c r="J15" s="15"/>
      <c r="K15" s="13"/>
      <c r="L15" s="15"/>
      <c r="M15" s="67"/>
      <c r="N15" s="67"/>
      <c r="O15" s="67"/>
      <c r="P15" s="67"/>
      <c r="Q15" s="59"/>
      <c r="R15" s="59"/>
      <c r="S15" s="14"/>
      <c r="T15" s="40"/>
      <c r="U15" s="26"/>
      <c r="V15" s="21"/>
    </row>
    <row r="16" spans="1:256" ht="20.100000000000001" customHeight="1" x14ac:dyDescent="0.25">
      <c r="A16" s="64">
        <v>11</v>
      </c>
      <c r="B16" s="64"/>
      <c r="C16" s="65"/>
      <c r="D16" s="65"/>
      <c r="E16" s="66"/>
      <c r="F16" s="66"/>
      <c r="G16" s="66"/>
      <c r="H16" s="66"/>
      <c r="I16" s="20"/>
      <c r="J16" s="20"/>
      <c r="K16" s="13"/>
      <c r="L16" s="20"/>
      <c r="M16" s="67"/>
      <c r="N16" s="67"/>
      <c r="O16" s="67"/>
      <c r="P16" s="67"/>
      <c r="Q16" s="58"/>
      <c r="R16" s="58"/>
      <c r="S16" s="14"/>
      <c r="T16" s="40"/>
      <c r="U16" s="26"/>
      <c r="V16" s="21"/>
    </row>
    <row r="17" spans="1:22" ht="20.100000000000001" customHeight="1" x14ac:dyDescent="0.25">
      <c r="A17" s="64">
        <v>12</v>
      </c>
      <c r="B17" s="64"/>
      <c r="C17" s="65"/>
      <c r="D17" s="65"/>
      <c r="E17" s="66"/>
      <c r="F17" s="66"/>
      <c r="G17" s="66"/>
      <c r="H17" s="66"/>
      <c r="I17" s="15"/>
      <c r="J17" s="15"/>
      <c r="K17" s="13"/>
      <c r="L17" s="15"/>
      <c r="M17" s="67"/>
      <c r="N17" s="67"/>
      <c r="O17" s="67"/>
      <c r="P17" s="67"/>
      <c r="Q17" s="59"/>
      <c r="R17" s="59"/>
      <c r="S17" s="14"/>
      <c r="T17" s="40"/>
      <c r="U17" s="26"/>
      <c r="V17" s="21"/>
    </row>
    <row r="18" spans="1:22" ht="20.100000000000001" customHeight="1" x14ac:dyDescent="0.25">
      <c r="A18" s="64">
        <v>13</v>
      </c>
      <c r="B18" s="64"/>
      <c r="C18" s="65"/>
      <c r="D18" s="65"/>
      <c r="E18" s="66"/>
      <c r="F18" s="66"/>
      <c r="G18" s="66"/>
      <c r="H18" s="66"/>
      <c r="I18" s="20"/>
      <c r="J18" s="20"/>
      <c r="K18" s="13"/>
      <c r="L18" s="20"/>
      <c r="M18" s="67"/>
      <c r="N18" s="67"/>
      <c r="O18" s="67"/>
      <c r="P18" s="67"/>
      <c r="Q18" s="58"/>
      <c r="R18" s="58"/>
      <c r="S18" s="14"/>
      <c r="T18" s="40"/>
      <c r="U18" s="26"/>
      <c r="V18" s="21"/>
    </row>
    <row r="19" spans="1:22" ht="20.100000000000001" customHeight="1" x14ac:dyDescent="0.25">
      <c r="A19" s="64">
        <v>14</v>
      </c>
      <c r="B19" s="64"/>
      <c r="C19" s="65"/>
      <c r="D19" s="65"/>
      <c r="E19" s="66"/>
      <c r="F19" s="66"/>
      <c r="G19" s="66"/>
      <c r="H19" s="66"/>
      <c r="I19" s="15"/>
      <c r="J19" s="15"/>
      <c r="K19" s="13"/>
      <c r="L19" s="15"/>
      <c r="M19" s="67"/>
      <c r="N19" s="67"/>
      <c r="O19" s="67"/>
      <c r="P19" s="67"/>
      <c r="Q19" s="59"/>
      <c r="R19" s="59"/>
      <c r="S19" s="14"/>
      <c r="T19" s="51"/>
      <c r="U19" s="50"/>
      <c r="V19" s="21"/>
    </row>
    <row r="20" spans="1:22" ht="20.100000000000001" customHeight="1" x14ac:dyDescent="0.25">
      <c r="A20" s="64">
        <v>15</v>
      </c>
      <c r="B20" s="64"/>
      <c r="C20" s="65"/>
      <c r="D20" s="65"/>
      <c r="E20" s="66"/>
      <c r="F20" s="66"/>
      <c r="G20" s="66"/>
      <c r="H20" s="66"/>
      <c r="I20" s="20"/>
      <c r="J20" s="20"/>
      <c r="K20" s="13"/>
      <c r="L20" s="20"/>
      <c r="M20" s="67"/>
      <c r="N20" s="67"/>
      <c r="O20" s="67"/>
      <c r="P20" s="67"/>
      <c r="Q20" s="58"/>
      <c r="R20" s="58"/>
      <c r="S20" s="14"/>
      <c r="T20" s="51"/>
      <c r="U20" s="53"/>
      <c r="V20" s="26"/>
    </row>
    <row r="21" spans="1:22" ht="12.75" customHeight="1" x14ac:dyDescent="0.25">
      <c r="A21" s="42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4" t="s">
        <v>28</v>
      </c>
      <c r="Q21" s="44">
        <f>SUM(Q6:Q20)</f>
        <v>0.6</v>
      </c>
      <c r="R21" s="44">
        <f>SUM(R6:R20)</f>
        <v>1</v>
      </c>
      <c r="S21" s="43"/>
      <c r="T21" s="54"/>
      <c r="U21" s="56"/>
      <c r="V21" s="50"/>
    </row>
    <row r="22" spans="1:22" ht="12.75" customHeight="1" x14ac:dyDescent="0.25">
      <c r="A22" s="45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9" t="s">
        <v>50</v>
      </c>
      <c r="Q22" s="49"/>
      <c r="R22" s="49">
        <f>SUM(R21*B3)+Q21</f>
        <v>4.5999999999999996</v>
      </c>
      <c r="S22" s="47"/>
      <c r="T22" s="52"/>
      <c r="U22" s="57"/>
      <c r="V22" s="48"/>
    </row>
  </sheetData>
  <mergeCells count="71"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  <mergeCell ref="A6:B6"/>
    <mergeCell ref="C6:D6"/>
    <mergeCell ref="E6:H6"/>
    <mergeCell ref="M6:P6"/>
    <mergeCell ref="A7:B7"/>
    <mergeCell ref="C7:D7"/>
    <mergeCell ref="E7:H7"/>
    <mergeCell ref="M7:P7"/>
    <mergeCell ref="A8:B8"/>
    <mergeCell ref="C8:D8"/>
    <mergeCell ref="E8:H8"/>
    <mergeCell ref="M8:P8"/>
    <mergeCell ref="A9:B9"/>
    <mergeCell ref="C9:D9"/>
    <mergeCell ref="E9:H9"/>
    <mergeCell ref="M9:P9"/>
    <mergeCell ref="A10:B10"/>
    <mergeCell ref="C10:D10"/>
    <mergeCell ref="E10:H10"/>
    <mergeCell ref="M10:P10"/>
    <mergeCell ref="A11:B11"/>
    <mergeCell ref="C11:D11"/>
    <mergeCell ref="E11:H11"/>
    <mergeCell ref="M11:P11"/>
    <mergeCell ref="A12:B12"/>
    <mergeCell ref="C12:D12"/>
    <mergeCell ref="E12:H12"/>
    <mergeCell ref="M12:P12"/>
    <mergeCell ref="A13:B13"/>
    <mergeCell ref="C13:D13"/>
    <mergeCell ref="M13:P13"/>
    <mergeCell ref="A14:B14"/>
    <mergeCell ref="C14:D14"/>
    <mergeCell ref="E14:H14"/>
    <mergeCell ref="M14:P14"/>
    <mergeCell ref="A15:B15"/>
    <mergeCell ref="C15:D15"/>
    <mergeCell ref="E15:H15"/>
    <mergeCell ref="M15:P15"/>
    <mergeCell ref="A16:B16"/>
    <mergeCell ref="C16:D16"/>
    <mergeCell ref="E16:H16"/>
    <mergeCell ref="M16:P16"/>
    <mergeCell ref="A17:B17"/>
    <mergeCell ref="C17:D17"/>
    <mergeCell ref="E17:H17"/>
    <mergeCell ref="M17:P17"/>
    <mergeCell ref="A20:B20"/>
    <mergeCell ref="C20:D20"/>
    <mergeCell ref="E20:H20"/>
    <mergeCell ref="M20:P20"/>
    <mergeCell ref="A18:B18"/>
    <mergeCell ref="C18:D18"/>
    <mergeCell ref="E18:H18"/>
    <mergeCell ref="M18:P18"/>
    <mergeCell ref="A19:B19"/>
    <mergeCell ref="C19:D19"/>
    <mergeCell ref="E19:H19"/>
    <mergeCell ref="M19:P19"/>
  </mergeCell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200-000000000000}">
          <x14:formula1>
            <xm:f>Лист1!$B$3:$B$28</xm:f>
          </x14:formula1>
          <xm:sqref>C6:D20</xm:sqref>
        </x14:dataValidation>
        <x14:dataValidation type="list" operator="equal" allowBlank="1" showErrorMessage="1" xr:uid="{00000000-0002-0000-0200-000001000000}">
          <x14:formula1>
            <xm:f>Лист1!$I$3:$I$5</xm:f>
          </x14:formula1>
          <xm:sqref>V6</xm:sqref>
        </x14:dataValidation>
        <x14:dataValidation type="list" operator="equal" allowBlank="1" showErrorMessage="1" xr:uid="{00000000-0002-0000-0200-000003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200-000002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200-000004000000}">
          <x14:formula1>
            <xm:f>Лист1!$E$3:$E$71</xm:f>
          </x14:formula1>
          <x14:formula2>
            <xm:f>0</xm:f>
          </x14:formula2>
          <xm:sqref>S7:S20 T9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B2:I40"/>
  <sheetViews>
    <sheetView topLeftCell="A6" workbookViewId="0">
      <selection activeCell="L37" sqref="L37:N67"/>
    </sheetView>
  </sheetViews>
  <sheetFormatPr defaultRowHeight="12.75" x14ac:dyDescent="0.2"/>
  <cols>
    <col min="2" max="2" width="23.5703125" customWidth="1"/>
    <col min="5" max="5" width="19.5703125" customWidth="1"/>
    <col min="9" max="9" width="13" customWidth="1"/>
    <col min="10" max="10" width="13.7109375" customWidth="1"/>
  </cols>
  <sheetData>
    <row r="2" spans="2:9" x14ac:dyDescent="0.2">
      <c r="B2" t="s">
        <v>29</v>
      </c>
      <c r="E2" t="s">
        <v>30</v>
      </c>
      <c r="I2" t="s">
        <v>18</v>
      </c>
    </row>
    <row r="3" spans="2:9" x14ac:dyDescent="0.2">
      <c r="B3" t="s">
        <v>31</v>
      </c>
      <c r="E3" t="s">
        <v>69</v>
      </c>
      <c r="I3" t="s">
        <v>32</v>
      </c>
    </row>
    <row r="4" spans="2:9" x14ac:dyDescent="0.2">
      <c r="B4" t="s">
        <v>55</v>
      </c>
      <c r="E4" t="s">
        <v>70</v>
      </c>
      <c r="I4" t="s">
        <v>34</v>
      </c>
    </row>
    <row r="5" spans="2:9" x14ac:dyDescent="0.2">
      <c r="B5" t="s">
        <v>52</v>
      </c>
      <c r="E5" t="s">
        <v>71</v>
      </c>
      <c r="I5" t="s">
        <v>36</v>
      </c>
    </row>
    <row r="6" spans="2:9" x14ac:dyDescent="0.2">
      <c r="B6" t="s">
        <v>33</v>
      </c>
      <c r="E6" t="s">
        <v>72</v>
      </c>
    </row>
    <row r="7" spans="2:9" x14ac:dyDescent="0.2">
      <c r="B7" t="s">
        <v>35</v>
      </c>
      <c r="E7" t="s">
        <v>73</v>
      </c>
    </row>
    <row r="8" spans="2:9" x14ac:dyDescent="0.2">
      <c r="B8" t="s">
        <v>51</v>
      </c>
      <c r="E8" t="s">
        <v>74</v>
      </c>
    </row>
    <row r="9" spans="2:9" x14ac:dyDescent="0.2">
      <c r="B9" t="s">
        <v>57</v>
      </c>
      <c r="E9" t="s">
        <v>75</v>
      </c>
    </row>
    <row r="10" spans="2:9" x14ac:dyDescent="0.2">
      <c r="B10" t="s">
        <v>37</v>
      </c>
      <c r="E10" t="s">
        <v>76</v>
      </c>
    </row>
    <row r="11" spans="2:9" x14ac:dyDescent="0.2">
      <c r="B11" t="s">
        <v>53</v>
      </c>
      <c r="E11" t="s">
        <v>77</v>
      </c>
    </row>
    <row r="12" spans="2:9" x14ac:dyDescent="0.2">
      <c r="B12" t="s">
        <v>38</v>
      </c>
      <c r="E12" t="s">
        <v>78</v>
      </c>
    </row>
    <row r="13" spans="2:9" x14ac:dyDescent="0.2">
      <c r="B13" t="s">
        <v>56</v>
      </c>
      <c r="E13" t="s">
        <v>79</v>
      </c>
    </row>
    <row r="14" spans="2:9" x14ac:dyDescent="0.2">
      <c r="B14" t="s">
        <v>39</v>
      </c>
      <c r="E14" t="s">
        <v>80</v>
      </c>
    </row>
    <row r="15" spans="2:9" x14ac:dyDescent="0.2">
      <c r="B15" t="s">
        <v>40</v>
      </c>
      <c r="E15" t="s">
        <v>81</v>
      </c>
    </row>
    <row r="16" spans="2:9" x14ac:dyDescent="0.2">
      <c r="B16" t="s">
        <v>41</v>
      </c>
      <c r="E16" t="s">
        <v>82</v>
      </c>
    </row>
    <row r="17" spans="2:5" x14ac:dyDescent="0.2">
      <c r="B17" t="s">
        <v>42</v>
      </c>
      <c r="E17" t="s">
        <v>83</v>
      </c>
    </row>
    <row r="18" spans="2:5" x14ac:dyDescent="0.2">
      <c r="B18" t="s">
        <v>54</v>
      </c>
      <c r="E18" t="s">
        <v>84</v>
      </c>
    </row>
    <row r="19" spans="2:5" x14ac:dyDescent="0.2">
      <c r="B19" t="s">
        <v>43</v>
      </c>
      <c r="E19" t="s">
        <v>85</v>
      </c>
    </row>
    <row r="20" spans="2:5" x14ac:dyDescent="0.2">
      <c r="B20" t="s">
        <v>44</v>
      </c>
      <c r="E20" t="s">
        <v>86</v>
      </c>
    </row>
    <row r="21" spans="2:5" x14ac:dyDescent="0.2">
      <c r="B21" t="s">
        <v>45</v>
      </c>
      <c r="E21" t="s">
        <v>87</v>
      </c>
    </row>
    <row r="22" spans="2:5" x14ac:dyDescent="0.2">
      <c r="B22" t="s">
        <v>46</v>
      </c>
      <c r="E22" t="s">
        <v>88</v>
      </c>
    </row>
    <row r="23" spans="2:5" x14ac:dyDescent="0.2">
      <c r="B23" t="s">
        <v>47</v>
      </c>
      <c r="E23" t="s">
        <v>89</v>
      </c>
    </row>
    <row r="24" spans="2:5" x14ac:dyDescent="0.2">
      <c r="B24" t="s">
        <v>48</v>
      </c>
      <c r="E24" t="s">
        <v>90</v>
      </c>
    </row>
    <row r="25" spans="2:5" x14ac:dyDescent="0.2">
      <c r="B25" t="s">
        <v>58</v>
      </c>
      <c r="E25" t="s">
        <v>91</v>
      </c>
    </row>
    <row r="26" spans="2:5" x14ac:dyDescent="0.2">
      <c r="E26" t="s">
        <v>92</v>
      </c>
    </row>
    <row r="27" spans="2:5" x14ac:dyDescent="0.2">
      <c r="E27" t="s">
        <v>93</v>
      </c>
    </row>
    <row r="28" spans="2:5" x14ac:dyDescent="0.2">
      <c r="E28" t="s">
        <v>94</v>
      </c>
    </row>
    <row r="29" spans="2:5" x14ac:dyDescent="0.2">
      <c r="E29" t="s">
        <v>95</v>
      </c>
    </row>
    <row r="30" spans="2:5" x14ac:dyDescent="0.2">
      <c r="E30" t="s">
        <v>96</v>
      </c>
    </row>
    <row r="31" spans="2:5" x14ac:dyDescent="0.2">
      <c r="E31" t="s">
        <v>97</v>
      </c>
    </row>
    <row r="32" spans="2:5" x14ac:dyDescent="0.2">
      <c r="E32" t="s">
        <v>98</v>
      </c>
    </row>
    <row r="33" spans="5:5" x14ac:dyDescent="0.2">
      <c r="E33" t="s">
        <v>99</v>
      </c>
    </row>
    <row r="34" spans="5:5" x14ac:dyDescent="0.2">
      <c r="E34" t="s">
        <v>100</v>
      </c>
    </row>
    <row r="35" spans="5:5" x14ac:dyDescent="0.2">
      <c r="E35" t="s">
        <v>101</v>
      </c>
    </row>
    <row r="36" spans="5:5" x14ac:dyDescent="0.2">
      <c r="E36" t="s">
        <v>102</v>
      </c>
    </row>
    <row r="37" spans="5:5" x14ac:dyDescent="0.2">
      <c r="E37" t="s">
        <v>103</v>
      </c>
    </row>
    <row r="38" spans="5:5" x14ac:dyDescent="0.2">
      <c r="E38" t="s">
        <v>104</v>
      </c>
    </row>
    <row r="39" spans="5:5" x14ac:dyDescent="0.2">
      <c r="E39" t="s">
        <v>105</v>
      </c>
    </row>
    <row r="40" spans="5:5" x14ac:dyDescent="0.2">
      <c r="E40" t="s">
        <v>106</v>
      </c>
    </row>
  </sheetData>
  <sheetProtection selectLockedCells="1" selectUnlockedCells="1"/>
  <dataValidations count="1">
    <dataValidation type="list" allowBlank="1" showErrorMessage="1" sqref="B7:B17" xr:uid="{00000000-0002-0000-0300-000000000000}">
      <formula1>$B$3:$B$28</formula1>
    </dataValidation>
  </dataValidations>
  <pageMargins left="0.70000000000000007" right="0.70000000000000007" top="0.75" bottom="0.75" header="0.51181102362204722" footer="0.51181102362204722"/>
  <pageSetup paperSize="9" firstPageNumber="0" orientation="portrait" horizontalDpi="300" verticalDpi="300"/>
  <headerFooter alignWithMargins="0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МК</vt:lpstr>
      <vt:lpstr>Лист2</vt:lpstr>
      <vt:lpstr>Лист3</vt:lpstr>
      <vt:lpstr>Лист1</vt:lpstr>
      <vt:lpstr>Лист1!Excel_BuiltIn__FilterDatabase</vt:lpstr>
      <vt:lpstr>МК!Excel_BuiltIn__FilterDatabase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Корсак Виталий Витальевич</dc:creator>
  <cp:lastModifiedBy>biver</cp:lastModifiedBy>
  <cp:lastPrinted>2023-07-11T10:21:21Z</cp:lastPrinted>
  <dcterms:created xsi:type="dcterms:W3CDTF">2023-06-07T11:24:16Z</dcterms:created>
  <dcterms:modified xsi:type="dcterms:W3CDTF">2023-08-11T18:17:32Z</dcterms:modified>
</cp:coreProperties>
</file>