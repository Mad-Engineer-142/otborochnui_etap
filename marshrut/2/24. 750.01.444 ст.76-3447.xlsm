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07381FC4-8A17-493C-9116-47060C1C1702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2" sheetId="3" r:id="rId2"/>
    <sheet name="Лист3" sheetId="4" r:id="rId3"/>
    <sheet name="Лист1" sheetId="2" r:id="rId4"/>
  </sheets>
  <definedNames>
    <definedName name="__xlfn_IFERROR">#N/A</definedName>
    <definedName name="Excel_BuiltIn__FilterDatabase" localSheetId="3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4" l="1"/>
  <c r="Q21" i="4"/>
  <c r="F3" i="4"/>
  <c r="D3" i="4"/>
  <c r="I3" i="4"/>
  <c r="E3" i="4"/>
  <c r="H3" i="4"/>
  <c r="G3" i="4"/>
  <c r="R22" i="4" l="1"/>
  <c r="J3" i="4"/>
  <c r="R3" i="4" s="1"/>
  <c r="K3" i="4"/>
  <c r="L3" i="4"/>
  <c r="R21" i="3"/>
  <c r="Q21" i="3"/>
  <c r="F3" i="3"/>
  <c r="D3" i="3"/>
  <c r="P3" i="4"/>
  <c r="E3" i="3"/>
  <c r="H3" i="3" s="1"/>
  <c r="G3" i="3"/>
  <c r="I3" i="3"/>
  <c r="Q3" i="4" l="1"/>
  <c r="R22" i="3"/>
  <c r="J3" i="3"/>
  <c r="R3" i="3" s="1"/>
  <c r="K3" i="3"/>
  <c r="L3" i="3"/>
  <c r="P3" i="3"/>
  <c r="Q3" i="3" l="1"/>
  <c r="Q21" i="1"/>
  <c r="R21" i="1"/>
  <c r="E3" i="1"/>
  <c r="F3" i="1"/>
  <c r="D3" i="1"/>
  <c r="G3" i="1"/>
  <c r="R22" i="1" l="1"/>
  <c r="J3" i="1"/>
  <c r="I3" i="1"/>
  <c r="H3" i="1"/>
  <c r="L3" i="1" l="1"/>
  <c r="K3" i="1"/>
  <c r="R3" i="1" s="1"/>
  <c r="P3" i="1"/>
  <c r="Q3" i="1" l="1"/>
</calcChain>
</file>

<file path=xl/sharedStrings.xml><?xml version="1.0" encoding="utf-8"?>
<sst xmlns="http://schemas.openxmlformats.org/spreadsheetml/2006/main" count="238" uniqueCount="141">
  <si>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</si>
  <si>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</si>
  <si>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</si>
  <si>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</si>
  <si>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</si>
  <si>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</si>
  <si>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</si>
  <si>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</si>
  <si>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</si>
  <si>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</si>
  <si>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</si>
  <si>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</si>
  <si>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</si>
  <si>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</si>
  <si>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</si>
  <si>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</si>
  <si>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</si>
  <si>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</si>
  <si>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</si>
  <si>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</si>
  <si>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</si>
  <si>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</si>
  <si>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</si>
  <si>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</si>
  <si>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</si>
  <si>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</si>
  <si>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</si>
  <si>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</si>
  <si>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</si>
  <si>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</si>
  <si>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</si>
  <si>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</si>
  <si>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</si>
  <si>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</si>
  <si>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</si>
  <si>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</si>
  <si>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</si>
  <si>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</si>
  <si>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</si>
  <si>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</si>
  <si>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</si>
  <si>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</si>
  <si>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</si>
  <si>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</si>
  <si>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</si>
  <si>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</si>
  <si>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</si>
  <si>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</si>
  <si>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</si>
  <si>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</si>
  <si>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</si>
  <si>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</si>
  <si>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</si>
  <si>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</si>
  <si>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</si>
  <si>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</si>
  <si>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</si>
  <si>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</si>
  <si>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</si>
  <si>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Штамп</t>
  </si>
  <si>
    <t>б/м</t>
  </si>
  <si>
    <t>2-24</t>
  </si>
  <si>
    <t>76-3447</t>
  </si>
  <si>
    <t>Разобрать-собрать и испытать.</t>
  </si>
  <si>
    <t>Пуансон</t>
  </si>
  <si>
    <t>d38х66</t>
  </si>
  <si>
    <t>У8А</t>
  </si>
  <si>
    <t>Калить HRC 52…56</t>
  </si>
  <si>
    <t>Матрица</t>
  </si>
  <si>
    <t>d53х20</t>
  </si>
  <si>
    <t>хвг</t>
  </si>
  <si>
    <t>х12 д60</t>
  </si>
  <si>
    <t>у д40</t>
  </si>
  <si>
    <t>750.01.444-10</t>
  </si>
  <si>
    <t>750.01.444-2</t>
  </si>
  <si>
    <t>750.01.444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</si>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</sst>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R7" sqref="R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3" t="s">
        <v>61</v>
      </c>
      <c r="N1" s="21"/>
      <c r="O1" s="67" t="s">
        <v>2</v>
      </c>
      <c r="P1" s="67"/>
      <c r="Q1" s="68" t="s">
        <v>75</v>
      </c>
      <c r="R1" s="68"/>
      <c r="S1" s="67" t="s">
        <v>3</v>
      </c>
      <c r="T1" s="69"/>
      <c r="U1" s="34" t="s">
        <v>62</v>
      </c>
      <c r="V1" s="72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59</v>
      </c>
      <c r="B3" s="31">
        <v>2</v>
      </c>
      <c r="C3" s="31" t="s">
        <v>60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41</v>
      </c>
      <c r="D6" s="64"/>
      <c r="E6" s="65"/>
      <c r="F6" s="65"/>
      <c r="G6" s="65"/>
      <c r="H6" s="65"/>
      <c r="I6" s="20"/>
      <c r="J6" s="20"/>
      <c r="K6" s="13"/>
      <c r="L6" s="20"/>
      <c r="M6" s="66" t="s">
        <v>63</v>
      </c>
      <c r="N6" s="66"/>
      <c r="O6" s="66"/>
      <c r="P6" s="66"/>
      <c r="Q6" s="58"/>
      <c r="R6" s="58"/>
      <c r="S6" s="14"/>
      <c r="T6" s="40"/>
      <c r="U6" s="26"/>
      <c r="V6" s="21"/>
    </row>
    <row r="7" spans="1:256" ht="20.100000000000001" customHeight="1" x14ac:dyDescent="0.25">
      <c r="A7" s="63">
        <v>2</v>
      </c>
      <c r="B7" s="63"/>
      <c r="C7" s="64"/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9"/>
      <c r="R7" s="59"/>
      <c r="S7" s="14"/>
      <c r="T7" s="40"/>
      <c r="U7" s="26"/>
      <c r="V7" s="21"/>
    </row>
    <row r="8" spans="1:256" ht="20.100000000000001" customHeight="1" x14ac:dyDescent="0.25">
      <c r="A8" s="63">
        <v>3</v>
      </c>
      <c r="B8" s="63"/>
      <c r="C8" s="64"/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8"/>
      <c r="R8" s="58"/>
      <c r="S8" s="14"/>
      <c r="T8" s="40"/>
      <c r="U8" s="26"/>
      <c r="V8" s="21"/>
    </row>
    <row r="9" spans="1:256" ht="20.100000000000001" customHeight="1" x14ac:dyDescent="0.25">
      <c r="A9" s="63">
        <v>4</v>
      </c>
      <c r="B9" s="63"/>
      <c r="C9" s="64"/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3">
        <v>5</v>
      </c>
      <c r="B10" s="63"/>
      <c r="C10" s="64"/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3">
        <v>6</v>
      </c>
      <c r="B11" s="63"/>
      <c r="C11" s="64"/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</v>
      </c>
      <c r="S22" s="47"/>
      <c r="T22" s="52"/>
      <c r="U22" s="57"/>
      <c r="V22" s="4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topLeftCell="B1" workbookViewId="0">
      <selection activeCell="Q16" sqref="Q1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3" t="s">
        <v>61</v>
      </c>
      <c r="N1" s="21"/>
      <c r="O1" s="67" t="s">
        <v>2</v>
      </c>
      <c r="P1" s="67"/>
      <c r="Q1" s="68" t="s">
        <v>73</v>
      </c>
      <c r="R1" s="68"/>
      <c r="S1" s="67" t="s">
        <v>3</v>
      </c>
      <c r="T1" s="69"/>
      <c r="U1" s="34" t="s">
        <v>62</v>
      </c>
      <c r="V1" s="72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64</v>
      </c>
      <c r="B3" s="31">
        <v>2</v>
      </c>
      <c r="C3" s="31" t="s">
        <v>65</v>
      </c>
      <c r="D3" s="32" t="str">
        <f>GETSIZE(C3,1)</f>
        <v>D</v>
      </c>
      <c r="E3" s="32">
        <f>GETSIZE(C3,2)</f>
        <v>38</v>
      </c>
      <c r="F3" s="32">
        <f>GETSIZE(C3,3)</f>
        <v>66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40</v>
      </c>
      <c r="L3" s="32">
        <f>IFERROR(F3+I3,F3)</f>
        <v>71</v>
      </c>
      <c r="M3" s="31" t="s">
        <v>66</v>
      </c>
      <c r="N3" s="22">
        <v>7.8</v>
      </c>
      <c r="O3" s="22" t="s">
        <v>19</v>
      </c>
      <c r="P3" s="23">
        <f>CALCULATEMASS(J3:L3,O3,N3)</f>
        <v>0.69589999999999996</v>
      </c>
      <c r="Q3" s="24">
        <f>P3*B3</f>
        <v>1.3917999999999999</v>
      </c>
      <c r="R3" s="25" t="str">
        <f>IF(J3&lt;&gt;"D",J3&amp;"x"&amp;K3&amp;"x"&amp;L3,J3&amp;K3&amp;"x"&amp;L3)&amp;" "&amp;M3</f>
        <v>D40x71 У8А</v>
      </c>
      <c r="S3" s="36" t="s">
        <v>72</v>
      </c>
      <c r="T3" s="37"/>
      <c r="U3" s="26">
        <v>1.08</v>
      </c>
      <c r="V3" s="27">
        <v>45139</v>
      </c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44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8">
        <v>0.5</v>
      </c>
      <c r="R6" s="58">
        <v>1</v>
      </c>
      <c r="S6" s="14" t="s">
        <v>129</v>
      </c>
      <c r="T6" s="40"/>
      <c r="U6" s="26"/>
      <c r="V6" s="21" t="s">
        <v>36</v>
      </c>
    </row>
    <row r="7" spans="1:256" ht="20.100000000000001" customHeight="1" x14ac:dyDescent="0.25">
      <c r="A7" s="63">
        <v>2</v>
      </c>
      <c r="B7" s="63"/>
      <c r="C7" s="64" t="s">
        <v>43</v>
      </c>
      <c r="D7" s="64"/>
      <c r="E7" s="65"/>
      <c r="F7" s="65"/>
      <c r="G7" s="65"/>
      <c r="H7" s="65"/>
      <c r="I7" s="15"/>
      <c r="J7" s="15"/>
      <c r="K7" s="13"/>
      <c r="L7" s="15"/>
      <c r="M7" s="66" t="s">
        <v>67</v>
      </c>
      <c r="N7" s="66"/>
      <c r="O7" s="66"/>
      <c r="P7" s="66"/>
      <c r="Q7" s="59">
        <v>1</v>
      </c>
      <c r="R7" s="59">
        <v>0.01</v>
      </c>
      <c r="S7" s="14"/>
      <c r="T7" s="40"/>
      <c r="U7" s="26"/>
      <c r="V7" s="21"/>
    </row>
    <row r="8" spans="1:256" ht="20.100000000000001" customHeight="1" x14ac:dyDescent="0.25">
      <c r="A8" s="63">
        <v>3</v>
      </c>
      <c r="B8" s="63"/>
      <c r="C8" s="64" t="s">
        <v>44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8">
        <v>0.3</v>
      </c>
      <c r="R8" s="58">
        <v>0.7</v>
      </c>
      <c r="S8" s="14"/>
      <c r="T8" s="40"/>
      <c r="U8" s="26"/>
      <c r="V8" s="21"/>
    </row>
    <row r="9" spans="1:256" ht="20.100000000000001" customHeight="1" x14ac:dyDescent="0.25">
      <c r="A9" s="63">
        <v>4</v>
      </c>
      <c r="B9" s="63"/>
      <c r="C9" s="64" t="s">
        <v>41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9">
        <v>0.1</v>
      </c>
      <c r="R9" s="59">
        <v>0.1</v>
      </c>
      <c r="S9" s="14"/>
      <c r="T9" s="41"/>
      <c r="U9" s="26"/>
      <c r="V9" s="21"/>
    </row>
    <row r="10" spans="1:256" ht="20.100000000000001" customHeight="1" x14ac:dyDescent="0.25">
      <c r="A10" s="63">
        <v>5</v>
      </c>
      <c r="B10" s="63"/>
      <c r="C10" s="64"/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3">
        <v>6</v>
      </c>
      <c r="B11" s="63"/>
      <c r="C11" s="64"/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1.9000000000000001</v>
      </c>
      <c r="R21" s="44">
        <f>SUM(R6:R20)</f>
        <v>1.81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5.5200000000000005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22"/>
  <sheetViews>
    <sheetView topLeftCell="B1" workbookViewId="0">
      <selection activeCell="S7" sqref="S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3" t="s">
        <v>61</v>
      </c>
      <c r="N1" s="21"/>
      <c r="O1" s="67" t="s">
        <v>2</v>
      </c>
      <c r="P1" s="67"/>
      <c r="Q1" s="68" t="s">
        <v>74</v>
      </c>
      <c r="R1" s="68"/>
      <c r="S1" s="67" t="s">
        <v>3</v>
      </c>
      <c r="T1" s="69"/>
      <c r="U1" s="34" t="s">
        <v>62</v>
      </c>
      <c r="V1" s="72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68</v>
      </c>
      <c r="B3" s="31">
        <v>2</v>
      </c>
      <c r="C3" s="31" t="s">
        <v>69</v>
      </c>
      <c r="D3" s="32" t="str">
        <f>GETSIZE(C3,1)</f>
        <v>D</v>
      </c>
      <c r="E3" s="32">
        <f>GETSIZE(C3,2)</f>
        <v>53</v>
      </c>
      <c r="F3" s="32">
        <f>GETSIZE(C3,3)</f>
        <v>20</v>
      </c>
      <c r="G3" s="32">
        <f>Pripusk($D3:$F3,1)</f>
        <v>0</v>
      </c>
      <c r="H3" s="32">
        <f>Pripusk($D3:$F3,2)</f>
        <v>3</v>
      </c>
      <c r="I3" s="32">
        <f>Pripusk($D3:$F3,3)</f>
        <v>3</v>
      </c>
      <c r="J3" s="32" t="str">
        <f>IFERROR(D3+G3,D3)</f>
        <v>D</v>
      </c>
      <c r="K3" s="32">
        <f>IFERROR(E3+H3,E3)</f>
        <v>56</v>
      </c>
      <c r="L3" s="32">
        <f>IFERROR(F3+I3,F3)</f>
        <v>23</v>
      </c>
      <c r="M3" s="31" t="s">
        <v>70</v>
      </c>
      <c r="N3" s="22">
        <v>7.8</v>
      </c>
      <c r="O3" s="22" t="s">
        <v>19</v>
      </c>
      <c r="P3" s="23">
        <f>CALCULATEMASS(J3:L3,O3,N3)</f>
        <v>0.44190000000000002</v>
      </c>
      <c r="Q3" s="24">
        <f>P3*B3</f>
        <v>0.88380000000000003</v>
      </c>
      <c r="R3" s="25" t="str">
        <f>IF(J3&lt;&gt;"D",J3&amp;"x"&amp;K3&amp;"x"&amp;L3,J3&amp;K3&amp;"x"&amp;L3)&amp;" "&amp;M3</f>
        <v>D56x23 хвг</v>
      </c>
      <c r="S3" s="36" t="s">
        <v>71</v>
      </c>
      <c r="T3" s="37"/>
      <c r="U3" s="26">
        <v>0.82</v>
      </c>
      <c r="V3" s="27">
        <v>45139</v>
      </c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8">
        <v>0.2</v>
      </c>
      <c r="R6" s="58">
        <v>0.3</v>
      </c>
      <c r="S6" s="14" t="s">
        <v>80</v>
      </c>
      <c r="T6" s="40"/>
      <c r="U6" s="26"/>
      <c r="V6" s="21" t="s">
        <v>34</v>
      </c>
    </row>
    <row r="7" spans="1:256" ht="20.100000000000001" customHeight="1" x14ac:dyDescent="0.25">
      <c r="A7" s="63">
        <v>2</v>
      </c>
      <c r="B7" s="63"/>
      <c r="C7" s="64" t="s">
        <v>44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9">
        <v>0.55000000000000004</v>
      </c>
      <c r="R7" s="59">
        <v>0.6</v>
      </c>
      <c r="S7" s="14"/>
      <c r="T7" s="40"/>
      <c r="U7" s="26"/>
      <c r="V7" s="21"/>
    </row>
    <row r="8" spans="1:256" ht="20.100000000000001" customHeight="1" x14ac:dyDescent="0.25">
      <c r="A8" s="63">
        <v>3</v>
      </c>
      <c r="B8" s="63"/>
      <c r="C8" s="64" t="s">
        <v>43</v>
      </c>
      <c r="D8" s="64"/>
      <c r="E8" s="65"/>
      <c r="F8" s="65"/>
      <c r="G8" s="65"/>
      <c r="H8" s="65"/>
      <c r="I8" s="20"/>
      <c r="J8" s="20"/>
      <c r="K8" s="13"/>
      <c r="L8" s="20"/>
      <c r="M8" s="66" t="s">
        <v>67</v>
      </c>
      <c r="N8" s="66"/>
      <c r="O8" s="66"/>
      <c r="P8" s="66"/>
      <c r="Q8" s="58">
        <v>1</v>
      </c>
      <c r="R8" s="58">
        <v>0.01</v>
      </c>
      <c r="S8" s="14"/>
      <c r="T8" s="40"/>
      <c r="U8" s="26"/>
      <c r="V8" s="21"/>
    </row>
    <row r="9" spans="1:256" ht="20.100000000000001" customHeight="1" x14ac:dyDescent="0.25">
      <c r="A9" s="63">
        <v>4</v>
      </c>
      <c r="B9" s="63"/>
      <c r="C9" s="64" t="s">
        <v>37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9">
        <v>0.4</v>
      </c>
      <c r="R9" s="59">
        <v>0.65</v>
      </c>
      <c r="S9" s="14"/>
      <c r="T9" s="41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39</v>
      </c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>
        <v>0.1</v>
      </c>
      <c r="R10" s="58">
        <v>0.35</v>
      </c>
      <c r="S10" s="14"/>
      <c r="T10" s="40"/>
      <c r="U10" s="26"/>
      <c r="V10" s="21"/>
    </row>
    <row r="11" spans="1:256" ht="20.100000000000001" customHeight="1" x14ac:dyDescent="0.25">
      <c r="A11" s="63">
        <v>6</v>
      </c>
      <c r="B11" s="63"/>
      <c r="C11" s="64"/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2.25</v>
      </c>
      <c r="R21" s="44">
        <f>SUM(R6:R20)</f>
        <v>1.9100000000000001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6.07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2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2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2:I67"/>
  <sheetViews>
    <sheetView topLeftCell="A31" workbookViewId="0">
      <selection activeCell="I54" sqref="I54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76</v>
      </c>
      <c r="I3" t="s">
        <v>32</v>
      </c>
    </row>
    <row r="4" spans="2:9" x14ac:dyDescent="0.2">
      <c r="B4" t="s">
        <v>55</v>
      </c>
      <c r="E4" t="s">
        <v>77</v>
      </c>
      <c r="I4" t="s">
        <v>34</v>
      </c>
    </row>
    <row r="5" spans="2:9" x14ac:dyDescent="0.2">
      <c r="B5" t="s">
        <v>52</v>
      </c>
      <c r="E5" t="s">
        <v>78</v>
      </c>
      <c r="I5" t="s">
        <v>36</v>
      </c>
    </row>
    <row r="6" spans="2:9" x14ac:dyDescent="0.2">
      <c r="B6" t="s">
        <v>33</v>
      </c>
      <c r="E6" t="s">
        <v>79</v>
      </c>
    </row>
    <row r="7" spans="2:9" x14ac:dyDescent="0.2">
      <c r="B7" t="s">
        <v>35</v>
      </c>
      <c r="E7" t="s">
        <v>80</v>
      </c>
    </row>
    <row r="8" spans="2:9" x14ac:dyDescent="0.2">
      <c r="B8" t="s">
        <v>51</v>
      </c>
      <c r="E8" t="s">
        <v>81</v>
      </c>
    </row>
    <row r="9" spans="2:9" x14ac:dyDescent="0.2">
      <c r="B9" t="s">
        <v>57</v>
      </c>
      <c r="E9" t="s">
        <v>82</v>
      </c>
    </row>
    <row r="10" spans="2:9" x14ac:dyDescent="0.2">
      <c r="B10" t="s">
        <v>37</v>
      </c>
      <c r="E10" t="s">
        <v>83</v>
      </c>
    </row>
    <row r="11" spans="2:9" x14ac:dyDescent="0.2">
      <c r="B11" t="s">
        <v>53</v>
      </c>
      <c r="E11" t="s">
        <v>84</v>
      </c>
    </row>
    <row r="12" spans="2:9" x14ac:dyDescent="0.2">
      <c r="B12" t="s">
        <v>38</v>
      </c>
      <c r="E12" t="s">
        <v>85</v>
      </c>
    </row>
    <row r="13" spans="2:9" x14ac:dyDescent="0.2">
      <c r="B13" t="s">
        <v>56</v>
      </c>
      <c r="E13" t="s">
        <v>86</v>
      </c>
    </row>
    <row r="14" spans="2:9" x14ac:dyDescent="0.2">
      <c r="B14" t="s">
        <v>39</v>
      </c>
      <c r="E14" t="s">
        <v>87</v>
      </c>
    </row>
    <row r="15" spans="2:9" x14ac:dyDescent="0.2">
      <c r="B15" t="s">
        <v>40</v>
      </c>
      <c r="E15" t="s">
        <v>88</v>
      </c>
    </row>
    <row r="16" spans="2:9" x14ac:dyDescent="0.2">
      <c r="B16" t="s">
        <v>41</v>
      </c>
      <c r="E16" t="s">
        <v>89</v>
      </c>
    </row>
    <row r="17" spans="2:5" x14ac:dyDescent="0.2">
      <c r="B17" t="s">
        <v>42</v>
      </c>
      <c r="E17" t="s">
        <v>90</v>
      </c>
    </row>
    <row r="18" spans="2:5" x14ac:dyDescent="0.2">
      <c r="B18" t="s">
        <v>54</v>
      </c>
      <c r="E18" t="s">
        <v>91</v>
      </c>
    </row>
    <row r="19" spans="2:5" x14ac:dyDescent="0.2">
      <c r="B19" t="s">
        <v>43</v>
      </c>
      <c r="E19" t="s">
        <v>92</v>
      </c>
    </row>
    <row r="20" spans="2:5" x14ac:dyDescent="0.2">
      <c r="B20" t="s">
        <v>44</v>
      </c>
      <c r="E20" t="s">
        <v>93</v>
      </c>
    </row>
    <row r="21" spans="2:5" x14ac:dyDescent="0.2">
      <c r="B21" t="s">
        <v>45</v>
      </c>
      <c r="E21" t="s">
        <v>94</v>
      </c>
    </row>
    <row r="22" spans="2:5" x14ac:dyDescent="0.2">
      <c r="B22" t="s">
        <v>46</v>
      </c>
      <c r="E22" t="s">
        <v>95</v>
      </c>
    </row>
    <row r="23" spans="2:5" x14ac:dyDescent="0.2">
      <c r="B23" t="s">
        <v>47</v>
      </c>
      <c r="E23" t="s">
        <v>96</v>
      </c>
    </row>
    <row r="24" spans="2:5" x14ac:dyDescent="0.2">
      <c r="B24" t="s">
        <v>48</v>
      </c>
      <c r="E24" t="s">
        <v>97</v>
      </c>
    </row>
    <row r="25" spans="2:5" x14ac:dyDescent="0.2">
      <c r="B25" t="s">
        <v>58</v>
      </c>
      <c r="E25" t="s">
        <v>98</v>
      </c>
    </row>
    <row r="26" spans="2:5" x14ac:dyDescent="0.2">
      <c r="E26" t="s">
        <v>99</v>
      </c>
    </row>
    <row r="27" spans="2:5" x14ac:dyDescent="0.2">
      <c r="E27" t="s">
        <v>100</v>
      </c>
    </row>
    <row r="28" spans="2:5" x14ac:dyDescent="0.2">
      <c r="E28" t="s">
        <v>101</v>
      </c>
    </row>
    <row r="29" spans="2:5" x14ac:dyDescent="0.2">
      <c r="E29" t="s">
        <v>102</v>
      </c>
    </row>
    <row r="30" spans="2:5" x14ac:dyDescent="0.2">
      <c r="E30" t="s">
        <v>103</v>
      </c>
    </row>
    <row r="31" spans="2:5" x14ac:dyDescent="0.2">
      <c r="E31" t="s">
        <v>104</v>
      </c>
    </row>
    <row r="32" spans="2:5" x14ac:dyDescent="0.2">
      <c r="E32" t="s">
        <v>105</v>
      </c>
    </row>
    <row r="33" spans="5:5" x14ac:dyDescent="0.2">
      <c r="E33" t="s">
        <v>106</v>
      </c>
    </row>
    <row r="34" spans="5:5" x14ac:dyDescent="0.2">
      <c r="E34" t="s">
        <v>107</v>
      </c>
    </row>
    <row r="35" spans="5:5" x14ac:dyDescent="0.2">
      <c r="E35" t="s">
        <v>108</v>
      </c>
    </row>
    <row r="36" spans="5:5" x14ac:dyDescent="0.2">
      <c r="E36" t="s">
        <v>109</v>
      </c>
    </row>
    <row r="37" spans="5:5" x14ac:dyDescent="0.2">
      <c r="E37" t="s">
        <v>110</v>
      </c>
    </row>
    <row r="38" spans="5:5" x14ac:dyDescent="0.2">
      <c r="E38" t="s">
        <v>111</v>
      </c>
    </row>
    <row r="39" spans="5:5" x14ac:dyDescent="0.2">
      <c r="E39" t="s">
        <v>112</v>
      </c>
    </row>
    <row r="40" spans="5:5" x14ac:dyDescent="0.2">
      <c r="E40" t="s">
        <v>113</v>
      </c>
    </row>
    <row r="41" spans="5:5" x14ac:dyDescent="0.2">
      <c r="E41" t="s">
        <v>114</v>
      </c>
    </row>
    <row r="42" spans="5:5" x14ac:dyDescent="0.2">
      <c r="E42" t="s">
        <v>115</v>
      </c>
    </row>
    <row r="43" spans="5:5" x14ac:dyDescent="0.2">
      <c r="E43" t="s">
        <v>116</v>
      </c>
    </row>
    <row r="44" spans="5:5" x14ac:dyDescent="0.2">
      <c r="E44" t="s">
        <v>117</v>
      </c>
    </row>
    <row r="45" spans="5:5" x14ac:dyDescent="0.2">
      <c r="E45" t="s">
        <v>118</v>
      </c>
    </row>
    <row r="46" spans="5:5" x14ac:dyDescent="0.2">
      <c r="E46" t="s">
        <v>119</v>
      </c>
    </row>
    <row r="47" spans="5:5" x14ac:dyDescent="0.2">
      <c r="E47" t="s">
        <v>120</v>
      </c>
    </row>
    <row r="48" spans="5:5" x14ac:dyDescent="0.2">
      <c r="E48" t="s">
        <v>121</v>
      </c>
    </row>
    <row r="49" spans="5:5" x14ac:dyDescent="0.2">
      <c r="E49" t="s">
        <v>122</v>
      </c>
    </row>
    <row r="50" spans="5:5" x14ac:dyDescent="0.2">
      <c r="E50" t="s">
        <v>123</v>
      </c>
    </row>
    <row r="51" spans="5:5" x14ac:dyDescent="0.2">
      <c r="E51" t="s">
        <v>124</v>
      </c>
    </row>
    <row r="52" spans="5:5" x14ac:dyDescent="0.2">
      <c r="E52" t="s">
        <v>125</v>
      </c>
    </row>
    <row r="53" spans="5:5" x14ac:dyDescent="0.2">
      <c r="E53" t="s">
        <v>126</v>
      </c>
    </row>
    <row r="54" spans="5:5" x14ac:dyDescent="0.2">
      <c r="E54" t="s">
        <v>127</v>
      </c>
    </row>
    <row r="55" spans="5:5" x14ac:dyDescent="0.2">
      <c r="E55" t="s">
        <v>128</v>
      </c>
    </row>
    <row r="56" spans="5:5" x14ac:dyDescent="0.2">
      <c r="E56" t="s">
        <v>129</v>
      </c>
    </row>
    <row r="57" spans="5:5" x14ac:dyDescent="0.2">
      <c r="E57" t="s">
        <v>130</v>
      </c>
    </row>
    <row r="58" spans="5:5" x14ac:dyDescent="0.2">
      <c r="E58" t="s">
        <v>131</v>
      </c>
    </row>
    <row r="59" spans="5:5" x14ac:dyDescent="0.2">
      <c r="E59" t="s">
        <v>132</v>
      </c>
    </row>
    <row r="60" spans="5:5" x14ac:dyDescent="0.2">
      <c r="E60" t="s">
        <v>133</v>
      </c>
    </row>
    <row r="61" spans="5:5" x14ac:dyDescent="0.2">
      <c r="E61" t="s">
        <v>134</v>
      </c>
    </row>
    <row r="62" spans="5:5" x14ac:dyDescent="0.2">
      <c r="E62" t="s">
        <v>135</v>
      </c>
    </row>
    <row r="63" spans="5:5" x14ac:dyDescent="0.2">
      <c r="E63" t="s">
        <v>136</v>
      </c>
    </row>
    <row r="64" spans="5:5" x14ac:dyDescent="0.2">
      <c r="E64" t="s">
        <v>137</v>
      </c>
    </row>
    <row r="65" spans="5:5" x14ac:dyDescent="0.2">
      <c r="E65" t="s">
        <v>138</v>
      </c>
    </row>
    <row r="66" spans="5:5" x14ac:dyDescent="0.2">
      <c r="E66" t="s">
        <v>139</v>
      </c>
    </row>
    <row r="67" spans="5:5" x14ac:dyDescent="0.2">
      <c r="E67" t="s">
        <v>140</v>
      </c>
    </row>
  </sheetData>
  <sheetProtection selectLockedCells="1" selectUnlockedCells="1"/>
  <dataValidations count="1">
    <dataValidation type="list" allowBlank="1" showErrorMessage="1" sqref="B7:B17" xr:uid="{00000000-0002-0000-03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МК</vt:lpstr>
      <vt:lpstr>Лист2</vt:lpstr>
      <vt:lpstr>Лист3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2023-08-01T06:36:24Z</cp:lastPrinted>
  <dcterms:created xsi:type="dcterms:W3CDTF">2023-06-07T11:24:16Z</dcterms:created>
  <dcterms:modified xsi:type="dcterms:W3CDTF">2023-08-11T18:18:40Z</dcterms:modified>
</cp:coreProperties>
</file>